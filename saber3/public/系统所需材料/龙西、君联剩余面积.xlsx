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/>
  </bookViews>
  <sheets>
    <sheet name="龙西剩余面积" sheetId="1" r:id="rId1"/>
    <sheet name="君联剩余面积" sheetId="2" r:id="rId2"/>
    <sheet name="君联2楼" sheetId="3" r:id="rId3"/>
    <sheet name="君联7楼" sheetId="4" r:id="rId4"/>
    <sheet name="君联8楼" sheetId="5" r:id="rId5"/>
    <sheet name="君联9楼" sheetId="6" r:id="rId6"/>
    <sheet name="君联11楼" sheetId="7" r:id="rId7"/>
    <sheet name="君联12楼" sheetId="8" r:id="rId8"/>
    <sheet name="君联13楼" sheetId="9" r:id="rId9"/>
    <sheet name="君联14楼" sheetId="10" r:id="rId10"/>
    <sheet name="君联15楼" sheetId="11" r:id="rId11"/>
    <sheet name="君联16楼" sheetId="12" r:id="rId12"/>
    <sheet name="君联17楼" sheetId="13" r:id="rId13"/>
    <sheet name="君联18楼" sheetId="14" r:id="rId14"/>
    <sheet name="君联19楼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<sst xmlns="http://schemas.openxmlformats.org/spreadsheetml/2006/main" count="400" uniqueCount="299">
  <si>
    <t>龙西出租情况</t>
  </si>
  <si>
    <t>1F</t>
  </si>
  <si>
    <t>2F</t>
  </si>
  <si>
    <t>3F</t>
  </si>
  <si>
    <t>4F</t>
  </si>
  <si>
    <t>5F</t>
  </si>
  <si>
    <t>6F</t>
  </si>
  <si>
    <t>7F</t>
  </si>
  <si>
    <t>8F</t>
  </si>
  <si>
    <t>9F</t>
  </si>
  <si>
    <t>14F</t>
  </si>
  <si>
    <t>15-17F</t>
  </si>
  <si>
    <t>18F</t>
  </si>
  <si>
    <t>19F</t>
  </si>
  <si>
    <t>20F</t>
  </si>
  <si>
    <t>21F</t>
  </si>
  <si>
    <t>原租户</t>
  </si>
  <si>
    <t>已预定</t>
  </si>
  <si>
    <t>空置</t>
  </si>
  <si>
    <t>君联出租情况</t>
  </si>
  <si>
    <t>社区</t>
  </si>
  <si>
    <t>大厅</t>
  </si>
  <si>
    <t>3F、5F</t>
  </si>
  <si>
    <t>10F</t>
  </si>
  <si>
    <t>11F</t>
  </si>
  <si>
    <t>12F</t>
  </si>
  <si>
    <t>13F</t>
  </si>
  <si>
    <t>15F</t>
  </si>
  <si>
    <t>16F</t>
  </si>
  <si>
    <t>17F</t>
  </si>
  <si>
    <t>102.39（汉阳）</t>
  </si>
  <si>
    <t>22F</t>
  </si>
  <si>
    <t>28400-800=27600-10838.67</t>
  </si>
  <si>
    <t>209（金服209）</t>
  </si>
  <si>
    <t>210（金服208）81.04</t>
  </si>
  <si>
    <t>201（金服207）75.45</t>
  </si>
  <si>
    <t>202（金服206）113.69</t>
  </si>
  <si>
    <t>2楼文印室（算到209）</t>
  </si>
  <si>
    <t>202（金服205)94.62</t>
  </si>
  <si>
    <t>203（金服204)70.99</t>
  </si>
  <si>
    <t>207（金服211）15.26</t>
  </si>
  <si>
    <t>204（金服203）115.9</t>
  </si>
  <si>
    <t>208（金服210）46.88</t>
  </si>
  <si>
    <t>黄色：</t>
  </si>
  <si>
    <t>蓝色：</t>
  </si>
  <si>
    <t>预留</t>
  </si>
  <si>
    <t>2楼合计剩余:0</t>
  </si>
  <si>
    <t>205（金服202）68.06</t>
  </si>
  <si>
    <t>206（金服201）86.35</t>
  </si>
  <si>
    <t>719（金服709）113.53</t>
  </si>
  <si>
    <t>720（金服708）</t>
  </si>
  <si>
    <t>701（金服707）</t>
  </si>
  <si>
    <t>702（金服706）</t>
  </si>
  <si>
    <t>703（金服新风机房）13.66</t>
  </si>
  <si>
    <t>704（金服705）</t>
  </si>
  <si>
    <t>718（金服710）36.84</t>
  </si>
  <si>
    <t>717（金服711）59.66</t>
  </si>
  <si>
    <t>705（金服704）</t>
  </si>
  <si>
    <t>716（金服712）59.99</t>
  </si>
  <si>
    <t>706（金服703）</t>
  </si>
  <si>
    <t>715（金服713）56.4</t>
  </si>
  <si>
    <t>721（金服文印室）</t>
  </si>
  <si>
    <t>707（金服702）</t>
  </si>
  <si>
    <t>714（金服714）
63.52</t>
  </si>
  <si>
    <t>713（金服715）30.48</t>
  </si>
  <si>
    <t>712（金服716）</t>
  </si>
  <si>
    <t>711（金服717）57.66</t>
  </si>
  <si>
    <t>710（金服718）56.56</t>
  </si>
  <si>
    <t>709（金服719）</t>
  </si>
  <si>
    <t>708（金服701）63.52</t>
  </si>
  <si>
    <t>红色：</t>
  </si>
  <si>
    <t>待清退/短租</t>
  </si>
  <si>
    <t>橙色：</t>
  </si>
  <si>
    <t>待退出</t>
  </si>
  <si>
    <t>7楼空余面积（包括待清退企业面积，不包括新风机房）：304.36</t>
  </si>
  <si>
    <t>818（金服810）76.5</t>
  </si>
  <si>
    <t>819（金服808）104.88</t>
  </si>
  <si>
    <t>801（金服808）143.08</t>
  </si>
  <si>
    <t>802（金服807）102.43</t>
  </si>
  <si>
    <t>803（金服新风机房）16.33</t>
  </si>
  <si>
    <t>804（金服806）</t>
  </si>
  <si>
    <t>805（金服805）</t>
  </si>
  <si>
    <t>817（金服811）60.32</t>
  </si>
  <si>
    <t>806（金服804）</t>
  </si>
  <si>
    <t>816（金服812）58.36</t>
  </si>
  <si>
    <t>807（金服803）
60.06</t>
  </si>
  <si>
    <t>815（金服813）56.4</t>
  </si>
  <si>
    <t>820（金服文印室）13.46</t>
  </si>
  <si>
    <t>808（金服802）
56.4</t>
  </si>
  <si>
    <t>814（金服814）63.52</t>
  </si>
  <si>
    <t>左右两间被打通在一起，租赁时酌情增加面积</t>
  </si>
  <si>
    <t>813（金服815）76.31</t>
  </si>
  <si>
    <t>812（金服816）57.66</t>
  </si>
  <si>
    <t>811（金服817）</t>
  </si>
  <si>
    <t>810（金服818）</t>
  </si>
  <si>
    <t>809（金服801）</t>
  </si>
  <si>
    <t>8楼空余面积（包括待清退企业面积，不包括新风机房、文印室，短租企业）：591.76</t>
  </si>
  <si>
    <t>919（金服909）32.77</t>
  </si>
  <si>
    <t>901（金服908）</t>
  </si>
  <si>
    <t>902（金服907）</t>
  </si>
  <si>
    <t>903（金服906）</t>
  </si>
  <si>
    <t>（金服新风机房）</t>
  </si>
  <si>
    <t>904（金服905）44.38</t>
  </si>
  <si>
    <r>
      <rPr>
        <sz val="11"/>
        <color rgb="FF000000"/>
        <rFont val="宋体"/>
        <charset val="134"/>
      </rPr>
      <t>918（金服910）</t>
    </r>
    <r>
      <rPr>
        <sz val="11"/>
        <color rgb="FF000000"/>
        <rFont val="宋体"/>
        <charset val="134"/>
      </rPr>
      <t>-36.52</t>
    </r>
  </si>
  <si>
    <t>920（金服文印室）</t>
  </si>
  <si>
    <t>917（金服911）</t>
  </si>
  <si>
    <t>916（金服912）-56.4</t>
  </si>
  <si>
    <t>905（金服904）60.32</t>
  </si>
  <si>
    <t>915（金服913）- 53.8</t>
  </si>
  <si>
    <t>906（金服903）53.8</t>
  </si>
  <si>
    <t>914（金服914）</t>
  </si>
  <si>
    <t>921（金服工具间）</t>
  </si>
  <si>
    <t>907（金服902）60.97</t>
  </si>
  <si>
    <t>913（金服915）</t>
  </si>
  <si>
    <t>912（金服916）</t>
  </si>
  <si>
    <t>912（金服917）</t>
  </si>
  <si>
    <t>911（金服918）-57.66</t>
  </si>
  <si>
    <t>910（金服919）</t>
  </si>
  <si>
    <t>909（金服920）30.09</t>
  </si>
  <si>
    <t>908（金服901）63.52</t>
  </si>
  <si>
    <t>909（金服921）39.01</t>
  </si>
  <si>
    <t>9楼空余面积（包括待清退企业面积，不包括新风机房等）：226.16</t>
  </si>
  <si>
    <t>金服1109-113.53</t>
  </si>
  <si>
    <t>金服1108-104.88</t>
  </si>
  <si>
    <t>金服1107-143.08</t>
  </si>
  <si>
    <t>金服1106-102.43</t>
  </si>
  <si>
    <t>金服新风机房13.66</t>
  </si>
  <si>
    <t>金服1105-44.38</t>
  </si>
  <si>
    <t>金服1110-36.84</t>
  </si>
  <si>
    <t>金服1111-59.66</t>
  </si>
  <si>
    <t>金服1104</t>
  </si>
  <si>
    <t>金服1112-59.99</t>
  </si>
  <si>
    <t>金服1103</t>
  </si>
  <si>
    <t>金服1113</t>
  </si>
  <si>
    <t>金服文印室13.31</t>
  </si>
  <si>
    <t>金服1102</t>
  </si>
  <si>
    <t>金服1114-63.52</t>
  </si>
  <si>
    <t>金服1115-29.24</t>
  </si>
  <si>
    <t>金服1116</t>
  </si>
  <si>
    <t>金服1117</t>
  </si>
  <si>
    <t>金服1118</t>
  </si>
  <si>
    <t>金服1119</t>
  </si>
  <si>
    <t>金服1101</t>
  </si>
  <si>
    <t>11楼空余面积（包括待清退企业面积，不包括新风机房：607.18</t>
  </si>
  <si>
    <t>1219（金服1210）76.5</t>
  </si>
  <si>
    <t>1220（金服1209）104.88</t>
  </si>
  <si>
    <t>1201（金服1208）143.08</t>
  </si>
  <si>
    <t>1202（金服1207）102.43</t>
  </si>
  <si>
    <t>1203（金服新风机房）16.33</t>
  </si>
  <si>
    <t>1204（金服1206）81.35</t>
  </si>
  <si>
    <t>倾向拐角两间整租，送走廊部分面积</t>
  </si>
  <si>
    <t>1205（金服1205）18.84</t>
  </si>
  <si>
    <t>1218（金服1211）58.69</t>
  </si>
  <si>
    <t>1206（金服1204）</t>
  </si>
  <si>
    <t>1217（金服1212）</t>
  </si>
  <si>
    <t>1207（金服1203）</t>
  </si>
  <si>
    <t>1216（金服1213）</t>
  </si>
  <si>
    <t>金服文印室13.46</t>
  </si>
  <si>
    <t>1208（金服1202）</t>
  </si>
  <si>
    <t>1215（金服1214）</t>
  </si>
  <si>
    <t>1214（金服1215）29.24</t>
  </si>
  <si>
    <t>1213（金服1216）</t>
  </si>
  <si>
    <t>1212（金服1217）</t>
  </si>
  <si>
    <t>1211（金服1218）</t>
  </si>
  <si>
    <t>1210（金服1219）76.31</t>
  </si>
  <si>
    <t>1209（金服1201）63.52</t>
  </si>
  <si>
    <t>12楼空余面积（包括待清退企业面积，不包括新风机房、文印室）：407.7</t>
  </si>
  <si>
    <t>1319（金服1309）113.53</t>
  </si>
  <si>
    <t>1320（金服1308）104.88</t>
  </si>
  <si>
    <t>1301（金服1307）143.08</t>
  </si>
  <si>
    <t>1302（金服1306）102.43</t>
  </si>
  <si>
    <t>1303（金服新风机房）13.66</t>
  </si>
  <si>
    <t>1304（金服1305）44.38</t>
  </si>
  <si>
    <t>1318（金服1310）36.84</t>
  </si>
  <si>
    <t>1317（金服1311）</t>
  </si>
  <si>
    <t>1305（金服1304）</t>
  </si>
  <si>
    <t>1316（金服1312）</t>
  </si>
  <si>
    <t>1306（金服1303）58.36</t>
  </si>
  <si>
    <t>1315（金服1313）
56.4</t>
  </si>
  <si>
    <t>1321（金服文印室）13.31</t>
  </si>
  <si>
    <t>1307（金服1302）
56.4</t>
  </si>
  <si>
    <t>1314（金服1314）</t>
  </si>
  <si>
    <t>1313（金服1315）29.24</t>
  </si>
  <si>
    <t>1312（金服1316）</t>
  </si>
  <si>
    <t>1311（金服1317）</t>
  </si>
  <si>
    <t>1310（金服1318）</t>
  </si>
  <si>
    <t>1309（金服1319）</t>
  </si>
  <si>
    <t>1308（金服1301）</t>
  </si>
  <si>
    <t>13楼空余面积（包括待清退企业面积，不包括新风机房）：348.43</t>
  </si>
  <si>
    <t>新风机房</t>
  </si>
  <si>
    <t>1405-117.23</t>
  </si>
  <si>
    <t>1403-58.36</t>
  </si>
  <si>
    <t>文印室
13.46</t>
  </si>
  <si>
    <t>1402-56.4</t>
  </si>
  <si>
    <t>1401-65.37</t>
  </si>
  <si>
    <t>14楼空余面积（包括待清退企业面积，不包括新风机房、文印室）：暂时没有，中晟可能退</t>
  </si>
  <si>
    <t>金服1509-113.53</t>
  </si>
  <si>
    <t>金服1508-104.88</t>
  </si>
  <si>
    <t>金服1507-143.08</t>
  </si>
  <si>
    <t>金服1506-102.43</t>
  </si>
  <si>
    <t>金服1505-44.38</t>
  </si>
  <si>
    <t>金服1510-41.08</t>
  </si>
  <si>
    <t xml:space="preserve">金服1511-57.06
</t>
  </si>
  <si>
    <t>金服1504-58.65</t>
  </si>
  <si>
    <t>金服1512-</t>
  </si>
  <si>
    <t>金服1503-</t>
  </si>
  <si>
    <t>金服1513-</t>
  </si>
  <si>
    <t>文印室</t>
  </si>
  <si>
    <t>金服1502-</t>
  </si>
  <si>
    <t>金服1514-</t>
  </si>
  <si>
    <t>金服1515-</t>
  </si>
  <si>
    <t>金服1516-</t>
  </si>
  <si>
    <t>金服1517-</t>
  </si>
  <si>
    <t>金服1518-</t>
  </si>
  <si>
    <t>金服1519-</t>
  </si>
  <si>
    <t>金服1501-</t>
  </si>
  <si>
    <t>15楼空余面积（包括待清退企业面积，不包括新风机房、文印室等）：665.1</t>
  </si>
  <si>
    <t>金服1610-78.93</t>
  </si>
  <si>
    <t>金服1609-102.39</t>
  </si>
  <si>
    <t>金服1608-143.08</t>
  </si>
  <si>
    <t>金服1607-102.43</t>
  </si>
  <si>
    <t>新风机房16.33</t>
  </si>
  <si>
    <t>金服1606-81.35</t>
  </si>
  <si>
    <t>金服1605-25.36</t>
  </si>
  <si>
    <t>金服1611-58.69</t>
  </si>
  <si>
    <t>金服1604</t>
  </si>
  <si>
    <t>金服1616</t>
  </si>
  <si>
    <t>金服1603</t>
  </si>
  <si>
    <t>金服1613</t>
  </si>
  <si>
    <t>文印室13.46</t>
  </si>
  <si>
    <t>金服1602</t>
  </si>
  <si>
    <t>金服1614</t>
  </si>
  <si>
    <t>金服1615-29.65</t>
  </si>
  <si>
    <t>金服1617</t>
  </si>
  <si>
    <t>金服1618</t>
  </si>
  <si>
    <t>金服1619-76.31</t>
  </si>
  <si>
    <t>金服1601-63.52</t>
  </si>
  <si>
    <t>16楼空余面积（包括待清退企业面积，不包括新风机房、文印室）：76.31</t>
  </si>
  <si>
    <t>金服1710-</t>
  </si>
  <si>
    <t>金服1709-</t>
  </si>
  <si>
    <t>金服1708-</t>
  </si>
  <si>
    <t>金服1707-</t>
  </si>
  <si>
    <t>金服1706-102.43</t>
  </si>
  <si>
    <t>金服1705-44.38</t>
  </si>
  <si>
    <t>金服1711-</t>
  </si>
  <si>
    <t>金服1712-</t>
  </si>
  <si>
    <t>金服1704-58.65</t>
  </si>
  <si>
    <t>金服1713-</t>
  </si>
  <si>
    <t>金服1703-58.36</t>
  </si>
  <si>
    <t>金服1714-</t>
  </si>
  <si>
    <t>金服1702-56.4</t>
  </si>
  <si>
    <t>金服1715-</t>
  </si>
  <si>
    <t>金服1716-</t>
  </si>
  <si>
    <t>金服1717-</t>
  </si>
  <si>
    <t>金服1718-</t>
  </si>
  <si>
    <t>金服1719-</t>
  </si>
  <si>
    <t>金服1701-81.72</t>
  </si>
  <si>
    <t>17楼空余面积（包括待清退企业面积，不包括新风机房、文印室等）：</t>
  </si>
  <si>
    <t>金服1809-78.93</t>
  </si>
  <si>
    <t xml:space="preserve">金服1808-102.39
</t>
  </si>
  <si>
    <t>金服1807</t>
  </si>
  <si>
    <t>金服1806</t>
  </si>
  <si>
    <t>金服1805-</t>
  </si>
  <si>
    <t>金服1804-</t>
  </si>
  <si>
    <t>金服1810-</t>
  </si>
  <si>
    <t>金服1803-62.6</t>
  </si>
  <si>
    <t>金服1811-</t>
  </si>
  <si>
    <t>金服1802-</t>
  </si>
  <si>
    <t>金服1812-</t>
  </si>
  <si>
    <t>金服1813-30.09</t>
  </si>
  <si>
    <t>金服1814-</t>
  </si>
  <si>
    <t>金服1815-</t>
  </si>
  <si>
    <t>金服1816-</t>
  </si>
  <si>
    <t>金服1818-</t>
  </si>
  <si>
    <t>金服1801-</t>
  </si>
  <si>
    <t>金服1817-</t>
  </si>
  <si>
    <t>绿色：</t>
  </si>
  <si>
    <t>短租</t>
  </si>
  <si>
    <t>18楼空余面积（包括待清退企业面积，不包括新风机房、文印室）：141.53</t>
  </si>
  <si>
    <t>金服1907-48.15</t>
  </si>
  <si>
    <t>金服1906</t>
  </si>
  <si>
    <t>金服1905</t>
  </si>
  <si>
    <t>金服1904</t>
  </si>
  <si>
    <t>金服1903</t>
  </si>
  <si>
    <t>金服1908-36.52</t>
  </si>
  <si>
    <t>金服1909-36.84</t>
  </si>
  <si>
    <t>金服1910-59.66</t>
  </si>
  <si>
    <t>金服1902</t>
  </si>
  <si>
    <t>金服1911-59.99</t>
  </si>
  <si>
    <t xml:space="preserve">金服1912-33.52
</t>
  </si>
  <si>
    <t>金服文印室</t>
  </si>
  <si>
    <t>金服1913</t>
  </si>
  <si>
    <t>金服1914</t>
  </si>
  <si>
    <t>金服1915</t>
  </si>
  <si>
    <t>金服1916</t>
  </si>
  <si>
    <t>金服1917</t>
  </si>
  <si>
    <t>金服1918</t>
  </si>
  <si>
    <t>金服1901</t>
  </si>
  <si>
    <t>19楼空余面积（包括待清退企业面积，不包括新风机房：241.16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</si>
</sst>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name val="Microsoft YaHei"/>
      <charset val="134"/>
    </font>
    <font>
      <sz val="11"/>
      <name val="宋体"/>
      <charset val="134"/>
    </font>
    <font>
      <b/>
      <sz val="14"/>
      <name val="仿宋"/>
      <charset val="134"/>
    </font>
    <font>
      <sz val="12"/>
      <name val="宋体"/>
      <charset val="134"/>
    </font>
    <font>
      <sz val="12"/>
      <name val="仿宋"/>
      <charset val="134"/>
    </font>
    <font>
      <b/>
      <sz val="16"/>
      <name val="仿宋"/>
      <charset val="134"/>
    </font>
    <font>
      <sz val="11"/>
      <name val="仿宋"/>
      <charset val="134"/>
    </font>
    <font>
      <sz val="12"/>
      <color rgb="FF000000"/>
      <name val="仿宋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382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0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14" applyNumberFormat="0" applyAlignment="0" applyProtection="0">
      <alignment vertical="center"/>
    </xf>
    <xf numFmtId="0" fontId="18" fillId="12" borderId="15" applyNumberFormat="0" applyAlignment="0" applyProtection="0">
      <alignment vertical="center"/>
    </xf>
    <xf numFmtId="0" fontId="19" fillId="12" borderId="14" applyNumberFormat="0" applyAlignment="0" applyProtection="0">
      <alignment vertical="center"/>
    </xf>
    <xf numFmtId="0" fontId="20" fillId="13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2" xfId="0" applyFont="1" applyFill="1" applyBorder="1">
      <alignment vertical="center"/>
    </xf>
    <xf numFmtId="0" fontId="1" fillId="0" borderId="3" xfId="0" applyFont="1" applyBorder="1">
      <alignment vertical="center"/>
    </xf>
    <xf numFmtId="0" fontId="1" fillId="3" borderId="4" xfId="0" applyFont="1" applyFill="1" applyBorder="1">
      <alignment vertical="center"/>
    </xf>
    <xf numFmtId="0" fontId="1" fillId="4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5" borderId="0" xfId="0" applyFont="1" applyFill="1">
      <alignment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0" fontId="1" fillId="6" borderId="0" xfId="0" applyFont="1" applyFill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Border="1">
      <alignment vertical="center"/>
    </xf>
    <xf numFmtId="0" fontId="1" fillId="2" borderId="6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8" xfId="0" applyFont="1" applyBorder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7" borderId="2" xfId="0" applyFont="1" applyFill="1" applyBorder="1">
      <alignment vertical="center"/>
    </xf>
    <xf numFmtId="0" fontId="0" fillId="2" borderId="3" xfId="0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8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龙西剩余面积"/>
  <dimension ref="A1:J24"/>
  <sheetViews>
    <sheetView tabSelected="1" workbookViewId="0">
      <selection activeCell="E19" sqref="E19"/>
    </sheetView>
  </sheetViews>
  <sheetFormatPr defaultColWidth="14" defaultRowHeight="18" customHeight="1"/>
  <cols>
    <col min="1" max="3" width="9.70833333333333" customWidth="1"/>
    <col min="4" max="4" width="14.7083333333333" customWidth="1"/>
    <col min="5" max="6" width="9.70833333333333" customWidth="1"/>
    <col min="7" max="7" width="11.7083333333333" customWidth="1"/>
    <col min="8" max="10" width="9.70833333333333" customWidth="1"/>
  </cols>
  <sheetData>
    <row r="1" customHeight="1" spans="1:10">
      <c r="A1" s="58" t="s">
        <v>0</v>
      </c>
      <c r="H1" s="40"/>
      <c r="I1" s="40"/>
      <c r="J1" s="40"/>
    </row>
    <row r="2" customHeight="1" spans="1:10">
      <c r="A2" s="41" t="s">
        <v>1</v>
      </c>
      <c r="B2" s="41">
        <v>256</v>
      </c>
      <c r="C2" s="2"/>
      <c r="D2" s="41">
        <v>20</v>
      </c>
      <c r="E2" s="41">
        <v>80</v>
      </c>
      <c r="F2" s="2"/>
      <c r="G2" s="41">
        <v>137.3</v>
      </c>
      <c r="H2" s="59"/>
      <c r="I2" s="59"/>
      <c r="J2" s="40"/>
    </row>
    <row r="3" customHeight="1" spans="1:10">
      <c r="A3" s="41" t="s">
        <v>2</v>
      </c>
      <c r="B3" s="60">
        <v>1116.378</v>
      </c>
      <c r="C3" s="61"/>
      <c r="D3" s="61"/>
      <c r="E3" s="61"/>
      <c r="F3" s="61"/>
      <c r="G3" s="61"/>
      <c r="H3" s="61"/>
      <c r="I3" s="25"/>
      <c r="J3" s="40"/>
    </row>
    <row r="4" customHeight="1" spans="1:10">
      <c r="A4" s="41" t="s">
        <v>3</v>
      </c>
      <c r="B4" s="59">
        <v>228</v>
      </c>
      <c r="C4" s="41">
        <v>347.15</v>
      </c>
      <c r="D4" s="41">
        <v>49</v>
      </c>
      <c r="E4" s="43">
        <v>45.45</v>
      </c>
      <c r="F4" s="43">
        <v>95</v>
      </c>
      <c r="G4" s="62">
        <v>222.19</v>
      </c>
      <c r="H4" s="43">
        <v>70.28</v>
      </c>
      <c r="I4" s="42">
        <v>34.5</v>
      </c>
      <c r="J4" s="40"/>
    </row>
    <row r="5" customHeight="1" spans="1:10">
      <c r="A5" s="41" t="s">
        <v>4</v>
      </c>
      <c r="B5" s="63">
        <v>1108.64</v>
      </c>
      <c r="C5" s="2"/>
      <c r="D5" s="2"/>
      <c r="E5" s="2"/>
      <c r="F5" s="2"/>
      <c r="G5" s="2"/>
      <c r="H5" s="2"/>
      <c r="I5" s="2"/>
      <c r="J5" s="40"/>
    </row>
    <row r="6" customHeight="1" spans="1:10">
      <c r="A6" s="41" t="s">
        <v>5</v>
      </c>
      <c r="B6" s="46">
        <v>290.9</v>
      </c>
      <c r="C6" s="48">
        <v>215.52</v>
      </c>
      <c r="D6" s="64">
        <v>60</v>
      </c>
      <c r="E6" s="64">
        <v>89.6</v>
      </c>
      <c r="F6" s="48">
        <v>115.6</v>
      </c>
      <c r="G6" s="48">
        <f>58.52-26.9</f>
        <v>31.62</v>
      </c>
      <c r="H6" s="64">
        <v>153</v>
      </c>
      <c r="I6" s="2"/>
      <c r="J6" s="40">
        <f>C6+F6+G6+B6</f>
        <v>653.64</v>
      </c>
    </row>
    <row r="7" customHeight="1" spans="1:10">
      <c r="A7" s="41" t="s">
        <v>6</v>
      </c>
      <c r="B7" s="64">
        <v>800</v>
      </c>
      <c r="C7" s="2"/>
      <c r="D7" s="2"/>
      <c r="E7" s="64">
        <v>100</v>
      </c>
      <c r="F7" s="64">
        <v>328</v>
      </c>
      <c r="G7" s="2"/>
      <c r="H7" s="2"/>
      <c r="I7" s="2"/>
      <c r="J7" s="40"/>
    </row>
    <row r="8" customHeight="1" spans="1:10">
      <c r="A8" s="41" t="s">
        <v>7</v>
      </c>
      <c r="B8" s="46">
        <v>76</v>
      </c>
      <c r="C8" s="46">
        <v>151</v>
      </c>
      <c r="D8" s="2"/>
      <c r="E8" s="41">
        <v>598.37</v>
      </c>
      <c r="F8" s="2"/>
      <c r="G8" s="41">
        <v>128.8</v>
      </c>
      <c r="H8" s="2"/>
      <c r="I8" s="2"/>
      <c r="J8" s="40">
        <f>B8+C8</f>
        <v>227</v>
      </c>
    </row>
    <row r="9" customHeight="1" spans="1:10">
      <c r="A9" s="41" t="s">
        <v>8</v>
      </c>
      <c r="B9" s="46">
        <v>565</v>
      </c>
      <c r="C9" s="2"/>
      <c r="D9" s="2"/>
      <c r="E9" s="41">
        <v>637</v>
      </c>
      <c r="F9" s="2"/>
      <c r="G9" s="2"/>
      <c r="H9" s="2"/>
      <c r="I9" s="2"/>
      <c r="J9" s="40">
        <v>565</v>
      </c>
    </row>
    <row r="10" customHeight="1" spans="1:10">
      <c r="A10" s="41" t="s">
        <v>9</v>
      </c>
      <c r="B10" s="65">
        <v>111.75</v>
      </c>
      <c r="C10" s="25"/>
      <c r="D10" s="66">
        <v>706.76</v>
      </c>
      <c r="E10" s="61"/>
      <c r="F10" s="25"/>
      <c r="G10" s="67">
        <v>310</v>
      </c>
      <c r="H10" s="25"/>
      <c r="I10" s="25"/>
      <c r="J10" s="40">
        <f>D10</f>
        <v>706.76</v>
      </c>
    </row>
    <row r="11" customHeight="1" spans="1:10">
      <c r="A11" s="41" t="s">
        <v>10</v>
      </c>
      <c r="B11" s="68">
        <v>1128.51</v>
      </c>
      <c r="C11" s="61"/>
      <c r="D11" s="61"/>
      <c r="E11" s="61"/>
      <c r="F11" s="61"/>
      <c r="G11" s="61"/>
      <c r="H11" s="61"/>
      <c r="I11" s="25"/>
      <c r="J11" s="45"/>
    </row>
    <row r="12" customHeight="1" spans="1:10">
      <c r="A12" s="41" t="s">
        <v>11</v>
      </c>
      <c r="B12" s="64">
        <v>1975.51</v>
      </c>
      <c r="C12" s="2"/>
      <c r="D12" s="64">
        <v>281.51</v>
      </c>
      <c r="E12" s="2"/>
      <c r="F12" s="64">
        <v>1128.51</v>
      </c>
      <c r="G12" s="2"/>
      <c r="H12" s="2"/>
      <c r="I12" s="2"/>
      <c r="J12" s="40"/>
    </row>
    <row r="13" customHeight="1" spans="1:10">
      <c r="A13" s="41" t="s">
        <v>12</v>
      </c>
      <c r="B13" s="64">
        <v>659.73</v>
      </c>
      <c r="C13" s="2"/>
      <c r="D13" s="2"/>
      <c r="E13" s="64">
        <v>267.34</v>
      </c>
      <c r="F13" s="2"/>
      <c r="G13" s="2"/>
      <c r="H13" s="64">
        <v>201.44</v>
      </c>
      <c r="I13" s="2"/>
      <c r="J13" s="40"/>
    </row>
    <row r="14" customHeight="1" spans="1:10">
      <c r="A14" s="41" t="s">
        <v>13</v>
      </c>
      <c r="B14" s="69">
        <v>549.2</v>
      </c>
      <c r="C14" s="2"/>
      <c r="D14" s="70">
        <v>128.8</v>
      </c>
      <c r="E14" s="69">
        <v>385</v>
      </c>
      <c r="F14" s="2"/>
      <c r="G14" s="2"/>
      <c r="H14" s="41">
        <v>93</v>
      </c>
      <c r="I14" s="2"/>
      <c r="J14" s="40">
        <v>128.8</v>
      </c>
    </row>
    <row r="15" customHeight="1" spans="1:10">
      <c r="A15" s="41" t="s">
        <v>14</v>
      </c>
      <c r="B15" s="64">
        <v>423</v>
      </c>
      <c r="C15" s="64">
        <v>396</v>
      </c>
      <c r="D15" s="2"/>
      <c r="E15" s="64">
        <v>134</v>
      </c>
      <c r="F15" s="41">
        <v>214</v>
      </c>
      <c r="G15" s="2"/>
      <c r="H15" s="2"/>
      <c r="I15" s="2"/>
      <c r="J15" s="40"/>
    </row>
    <row r="16" customHeight="1" spans="1:10">
      <c r="A16" s="41" t="s">
        <v>15</v>
      </c>
      <c r="B16" s="41">
        <v>497</v>
      </c>
      <c r="C16" s="46">
        <f>480.7-148</f>
        <v>332.7</v>
      </c>
      <c r="D16" s="2"/>
      <c r="E16" s="41">
        <v>95</v>
      </c>
      <c r="F16" s="41">
        <v>141</v>
      </c>
      <c r="G16" s="59">
        <v>148</v>
      </c>
      <c r="H16" s="46">
        <v>57</v>
      </c>
      <c r="I16" s="2"/>
      <c r="J16" s="45">
        <f>332.7+57</f>
        <v>389.7</v>
      </c>
    </row>
    <row r="17" customHeight="1" spans="1:10">
      <c r="A17" s="40"/>
      <c r="B17" s="40"/>
      <c r="C17" s="40"/>
      <c r="D17" s="40"/>
      <c r="E17" s="40"/>
      <c r="F17" s="40"/>
      <c r="G17" s="40"/>
      <c r="H17" s="40"/>
      <c r="I17" s="40"/>
      <c r="J17" s="40">
        <f>J6+J8+J10+J14+J16+J9</f>
        <v>2670.9</v>
      </c>
    </row>
    <row r="18" customHeight="1" spans="1:10">
      <c r="A18" s="40"/>
      <c r="B18" s="40"/>
      <c r="C18" s="40"/>
      <c r="D18" s="40"/>
      <c r="E18" s="40"/>
      <c r="F18" s="40"/>
      <c r="G18" s="40"/>
      <c r="H18" s="40"/>
      <c r="I18" s="40"/>
      <c r="J18" s="40"/>
    </row>
    <row r="19" customHeight="1" spans="1:10">
      <c r="A19" s="40"/>
      <c r="B19" s="40"/>
      <c r="C19" s="40">
        <v>17360</v>
      </c>
      <c r="D19" s="40"/>
      <c r="E19" s="40"/>
      <c r="F19" s="40"/>
      <c r="G19" s="40"/>
      <c r="H19" s="40"/>
      <c r="I19" s="40"/>
      <c r="J19" s="40">
        <f>372+58</f>
        <v>430</v>
      </c>
    </row>
    <row r="20" customHeight="1" spans="1:10">
      <c r="A20" s="40"/>
      <c r="B20" s="40"/>
      <c r="C20" s="40"/>
      <c r="D20" s="40"/>
      <c r="E20" s="40"/>
      <c r="F20" s="40"/>
      <c r="G20" s="40"/>
      <c r="H20" s="40"/>
      <c r="I20" s="40"/>
      <c r="J20" s="40"/>
    </row>
    <row r="21" customHeight="1" spans="1:10">
      <c r="A21" s="40"/>
      <c r="B21" s="40"/>
      <c r="C21" s="40"/>
      <c r="D21" s="71"/>
      <c r="E21" s="40" t="s">
        <v>16</v>
      </c>
      <c r="F21" s="40"/>
      <c r="G21" s="40"/>
      <c r="H21" s="40"/>
      <c r="I21" s="40"/>
      <c r="J21" s="40"/>
    </row>
    <row r="22" customHeight="1" spans="1:10">
      <c r="A22" s="40"/>
      <c r="B22" s="40"/>
      <c r="C22" s="40"/>
      <c r="D22" s="72"/>
      <c r="E22" s="40" t="s">
        <v>17</v>
      </c>
      <c r="F22" s="40"/>
      <c r="G22" s="40">
        <v>1560.15</v>
      </c>
      <c r="H22" s="40"/>
      <c r="I22" s="40"/>
      <c r="J22" s="40"/>
    </row>
    <row r="23" customHeight="1" spans="1:10">
      <c r="A23" s="40"/>
      <c r="B23" s="40"/>
      <c r="C23" s="40"/>
      <c r="D23" s="73"/>
      <c r="E23" s="40" t="s">
        <v>18</v>
      </c>
      <c r="F23" s="40"/>
      <c r="G23" s="40">
        <v>15799.85</v>
      </c>
      <c r="H23" s="40"/>
      <c r="I23" s="40"/>
      <c r="J23" s="40"/>
    </row>
    <row r="24" customHeight="1" spans="1:10">
      <c r="A24" s="40"/>
      <c r="B24" s="40"/>
      <c r="C24" s="40"/>
      <c r="D24" s="40"/>
      <c r="E24" s="40"/>
      <c r="F24" s="40"/>
      <c r="G24" s="40"/>
      <c r="H24" s="40"/>
      <c r="I24" s="40"/>
      <c r="J24" s="40"/>
    </row>
  </sheetData>
  <mergeCells count="30">
    <mergeCell ref="A1:G1"/>
    <mergeCell ref="B2:C2"/>
    <mergeCell ref="E2:F2"/>
    <mergeCell ref="B3:I3"/>
    <mergeCell ref="B5:I5"/>
    <mergeCell ref="H6:I6"/>
    <mergeCell ref="B7:D7"/>
    <mergeCell ref="F7:I7"/>
    <mergeCell ref="C8:D8"/>
    <mergeCell ref="E8:F8"/>
    <mergeCell ref="G8:I8"/>
    <mergeCell ref="B9:D9"/>
    <mergeCell ref="E9:I9"/>
    <mergeCell ref="B10:C10"/>
    <mergeCell ref="D10:F10"/>
    <mergeCell ref="G10:I10"/>
    <mergeCell ref="B11:I11"/>
    <mergeCell ref="B12:C12"/>
    <mergeCell ref="D12:E12"/>
    <mergeCell ref="F12:I12"/>
    <mergeCell ref="B13:D13"/>
    <mergeCell ref="E13:G13"/>
    <mergeCell ref="H13:I13"/>
    <mergeCell ref="B14:C14"/>
    <mergeCell ref="E14:G14"/>
    <mergeCell ref="H14:I14"/>
    <mergeCell ref="C15:D15"/>
    <mergeCell ref="F15:I15"/>
    <mergeCell ref="C16:D16"/>
    <mergeCell ref="H16:I1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君联剩余面积"/>
  <dimension ref="A1:O24"/>
  <sheetViews>
    <sheetView workbookViewId="0">
      <selection activeCell="A1" sqref="A1:H1"/>
    </sheetView>
  </sheetViews>
  <sheetFormatPr defaultColWidth="14" defaultRowHeight="18" customHeight="1"/>
  <cols>
    <col min="1" max="1" width="9.70833333333333" customWidth="1"/>
    <col min="2" max="5" width="13.7083333333333" customWidth="1"/>
    <col min="6" max="6" width="16.7083333333333" customWidth="1"/>
    <col min="7" max="9" width="13.7083333333333" customWidth="1"/>
    <col min="10" max="10" width="9.70833333333333" customWidth="1"/>
    <col min="11" max="11" width="20.7083333333333" customWidth="1"/>
    <col min="12" max="12" width="12.7083333333333" customWidth="1"/>
    <col min="13" max="13" width="13.7083333333333" customWidth="1"/>
    <col min="14" max="15" width="9.70833333333333" customWidth="1"/>
  </cols>
  <sheetData>
    <row r="1" customHeight="1" spans="1:15">
      <c r="A1" s="39" t="s">
        <v>19</v>
      </c>
      <c r="I1" s="40"/>
      <c r="J1" s="40"/>
      <c r="K1" s="40"/>
      <c r="L1" s="40"/>
      <c r="M1" s="40"/>
      <c r="N1" s="40"/>
      <c r="O1" s="40"/>
    </row>
    <row r="2" customHeight="1" spans="1:15">
      <c r="A2" s="41" t="s">
        <v>1</v>
      </c>
      <c r="B2" s="41" t="s">
        <v>20</v>
      </c>
      <c r="C2" s="2"/>
      <c r="D2" s="2"/>
      <c r="E2" s="2"/>
      <c r="F2" s="41" t="s">
        <v>21</v>
      </c>
      <c r="G2" s="2"/>
      <c r="H2" s="2"/>
      <c r="I2" s="40"/>
      <c r="J2" s="40"/>
      <c r="K2" s="40"/>
      <c r="L2" s="40"/>
      <c r="M2" s="40"/>
      <c r="N2" s="40"/>
      <c r="O2" s="40"/>
    </row>
    <row r="3" customHeight="1" spans="1:15">
      <c r="A3" s="41" t="s">
        <v>2</v>
      </c>
      <c r="B3" s="42">
        <v>435.79</v>
      </c>
      <c r="C3" s="2"/>
      <c r="D3" s="43">
        <v>514.93</v>
      </c>
      <c r="E3" s="44">
        <v>68.06</v>
      </c>
      <c r="F3" s="41">
        <v>86.35</v>
      </c>
      <c r="G3" s="41">
        <v>131.16</v>
      </c>
      <c r="H3" s="41">
        <v>46.88</v>
      </c>
      <c r="I3" s="45"/>
      <c r="J3" s="40"/>
      <c r="K3" s="40"/>
      <c r="L3" s="40"/>
      <c r="M3" s="40"/>
      <c r="N3" s="40"/>
      <c r="O3" s="40"/>
    </row>
    <row r="4" customHeight="1" spans="1:15">
      <c r="A4" s="41" t="s">
        <v>22</v>
      </c>
      <c r="B4" s="41">
        <v>3488.34</v>
      </c>
      <c r="C4" s="2"/>
      <c r="D4" s="2"/>
      <c r="E4" s="2"/>
      <c r="F4" s="2"/>
      <c r="G4" s="2"/>
      <c r="H4" s="2"/>
      <c r="I4" s="40"/>
      <c r="J4" s="40"/>
      <c r="K4" s="40"/>
      <c r="L4" s="40"/>
      <c r="M4" s="40"/>
      <c r="N4" s="40"/>
      <c r="O4" s="40"/>
    </row>
    <row r="5" customHeight="1" spans="1:15">
      <c r="A5" s="41" t="s">
        <v>4</v>
      </c>
      <c r="B5" s="46">
        <v>2000.4</v>
      </c>
      <c r="C5" s="2"/>
      <c r="D5" s="2"/>
      <c r="E5" s="2"/>
      <c r="F5" s="2"/>
      <c r="G5" s="2"/>
      <c r="H5" s="2"/>
      <c r="I5" s="45">
        <v>2000.4</v>
      </c>
      <c r="J5" s="40"/>
      <c r="K5" s="40"/>
      <c r="L5" s="40"/>
      <c r="M5" s="40"/>
      <c r="N5" s="40"/>
      <c r="O5" s="40"/>
    </row>
    <row r="6" customHeight="1" spans="1:15">
      <c r="A6" s="41" t="s">
        <v>6</v>
      </c>
      <c r="B6" s="41">
        <v>1219.19</v>
      </c>
      <c r="C6" s="2"/>
      <c r="D6" s="2"/>
      <c r="E6" s="2"/>
      <c r="F6" s="2"/>
      <c r="G6" s="2"/>
      <c r="H6" s="2"/>
      <c r="I6" s="40"/>
      <c r="J6" s="40"/>
      <c r="K6" s="40"/>
      <c r="L6" s="40"/>
      <c r="M6" s="40"/>
      <c r="N6" s="40"/>
      <c r="O6" s="40"/>
    </row>
    <row r="7" customHeight="1" spans="1:15">
      <c r="A7" s="41" t="s">
        <v>7</v>
      </c>
      <c r="B7" s="46">
        <v>57.66</v>
      </c>
      <c r="C7" s="46">
        <v>30.48</v>
      </c>
      <c r="D7" s="46">
        <v>59.99</v>
      </c>
      <c r="E7" s="46">
        <v>59.66</v>
      </c>
      <c r="F7" s="46">
        <v>36.84</v>
      </c>
      <c r="G7" s="46">
        <v>113.53</v>
      </c>
      <c r="H7" s="46">
        <v>59.66</v>
      </c>
      <c r="I7" s="45">
        <f>358.16+H7</f>
        <v>417.82</v>
      </c>
      <c r="J7" s="40"/>
      <c r="K7" s="40"/>
      <c r="L7" s="40"/>
      <c r="M7" s="40"/>
      <c r="N7" s="40"/>
      <c r="O7" s="40"/>
    </row>
    <row r="8" customHeight="1" spans="1:15">
      <c r="A8" s="41" t="s">
        <v>8</v>
      </c>
      <c r="B8" s="46">
        <v>76.31</v>
      </c>
      <c r="C8" s="46">
        <v>63.52</v>
      </c>
      <c r="D8" s="46">
        <v>56.4</v>
      </c>
      <c r="E8" s="46">
        <v>76.5</v>
      </c>
      <c r="F8" s="46">
        <v>143.08</v>
      </c>
      <c r="G8" s="46">
        <v>102.43</v>
      </c>
      <c r="H8" s="46">
        <v>60.06</v>
      </c>
      <c r="I8" s="45">
        <v>652.29</v>
      </c>
      <c r="J8" s="40"/>
      <c r="K8" s="40"/>
      <c r="L8" s="40"/>
      <c r="M8" s="40"/>
      <c r="N8" s="40"/>
      <c r="O8" s="40"/>
    </row>
    <row r="9" customHeight="1" spans="1:15">
      <c r="A9" s="41" t="s">
        <v>9</v>
      </c>
      <c r="B9" s="46">
        <v>32.77</v>
      </c>
      <c r="C9" s="46">
        <v>36.52</v>
      </c>
      <c r="D9" s="46">
        <v>56.4</v>
      </c>
      <c r="E9" s="46">
        <v>53.8</v>
      </c>
      <c r="F9" s="46">
        <v>57.66</v>
      </c>
      <c r="G9" s="46">
        <v>44.38</v>
      </c>
      <c r="H9" s="46">
        <v>53.8</v>
      </c>
      <c r="I9" s="45">
        <v>335.33</v>
      </c>
      <c r="J9" s="40"/>
      <c r="K9" s="40"/>
      <c r="L9" s="40"/>
      <c r="M9" s="40"/>
      <c r="N9" s="40"/>
      <c r="O9" s="40"/>
    </row>
    <row r="10" customHeight="1" spans="1:15">
      <c r="A10" s="41" t="s">
        <v>23</v>
      </c>
      <c r="B10" s="43">
        <v>1219.99</v>
      </c>
      <c r="C10" s="2"/>
      <c r="D10" s="2"/>
      <c r="E10" s="2"/>
      <c r="F10" s="2"/>
      <c r="G10" s="2"/>
      <c r="H10" s="2"/>
      <c r="I10" s="45"/>
      <c r="J10" s="40"/>
      <c r="K10" s="40"/>
      <c r="L10" s="47"/>
      <c r="M10" s="40"/>
      <c r="N10" s="40"/>
      <c r="O10" s="40"/>
    </row>
    <row r="11" customHeight="1" spans="1:15">
      <c r="A11" s="41" t="s">
        <v>24</v>
      </c>
      <c r="B11" s="48">
        <v>63.52</v>
      </c>
      <c r="C11" s="48">
        <v>59.66</v>
      </c>
      <c r="D11" s="48">
        <v>59.66</v>
      </c>
      <c r="E11" s="48">
        <v>104.88</v>
      </c>
      <c r="F11" s="48">
        <v>143.08</v>
      </c>
      <c r="G11" s="48">
        <v>102.43</v>
      </c>
      <c r="H11" s="49">
        <v>44.38</v>
      </c>
      <c r="I11" s="45">
        <v>577.61</v>
      </c>
      <c r="J11" s="40"/>
      <c r="K11" s="40"/>
      <c r="L11" s="40"/>
      <c r="M11" s="40"/>
      <c r="N11" s="40"/>
      <c r="O11" s="40"/>
    </row>
    <row r="12" customHeight="1" spans="1:15">
      <c r="A12" s="41" t="s">
        <v>25</v>
      </c>
      <c r="B12" s="46">
        <v>63.52</v>
      </c>
      <c r="C12" s="46">
        <v>29.24</v>
      </c>
      <c r="D12" s="46">
        <v>58.69</v>
      </c>
      <c r="E12" s="46">
        <v>76.5</v>
      </c>
      <c r="F12" s="46">
        <v>143.08</v>
      </c>
      <c r="G12" s="46">
        <v>100.19</v>
      </c>
      <c r="H12" s="41"/>
      <c r="I12" s="45">
        <v>471.22</v>
      </c>
      <c r="J12" s="40"/>
      <c r="K12" s="40"/>
      <c r="L12" s="40"/>
      <c r="M12" s="40"/>
      <c r="N12" s="40"/>
      <c r="O12" s="40"/>
    </row>
    <row r="13" customHeight="1" spans="1:15">
      <c r="A13" s="41" t="s">
        <v>26</v>
      </c>
      <c r="B13" s="48">
        <v>56.4</v>
      </c>
      <c r="C13" s="48">
        <v>29.24</v>
      </c>
      <c r="D13" s="50">
        <v>56.4</v>
      </c>
      <c r="E13" s="48">
        <v>113.53</v>
      </c>
      <c r="F13" s="48">
        <v>104.88</v>
      </c>
      <c r="G13" s="48">
        <v>44.38</v>
      </c>
      <c r="H13" s="43"/>
      <c r="I13" s="45">
        <f>404.83-D13</f>
        <v>348.43</v>
      </c>
      <c r="J13" s="40"/>
      <c r="K13" s="40"/>
      <c r="L13" s="40"/>
      <c r="M13" s="40"/>
      <c r="N13" s="40"/>
      <c r="O13" s="40"/>
    </row>
    <row r="14" customHeight="1" spans="1:15">
      <c r="A14" s="41" t="s">
        <v>10</v>
      </c>
      <c r="B14" s="48">
        <v>56.4</v>
      </c>
      <c r="C14" s="48">
        <v>58.36</v>
      </c>
      <c r="D14" s="48">
        <v>117.23</v>
      </c>
      <c r="E14" s="48">
        <v>65.37</v>
      </c>
      <c r="F14" s="51"/>
      <c r="G14" s="51"/>
      <c r="H14" s="51"/>
      <c r="I14" s="45">
        <v>297.36</v>
      </c>
      <c r="J14" s="40"/>
      <c r="K14" s="40"/>
      <c r="L14" s="40"/>
      <c r="M14" s="40"/>
      <c r="N14" s="40"/>
      <c r="O14" s="40"/>
    </row>
    <row r="15" customHeight="1" spans="1:15">
      <c r="A15" s="41" t="s">
        <v>27</v>
      </c>
      <c r="B15" s="41">
        <v>617.55</v>
      </c>
      <c r="C15" s="2"/>
      <c r="D15" s="2"/>
      <c r="E15" s="52">
        <v>57.06</v>
      </c>
      <c r="F15" s="46">
        <v>608.03</v>
      </c>
      <c r="G15" s="2"/>
      <c r="H15" s="2"/>
      <c r="I15" s="45">
        <v>608.03</v>
      </c>
      <c r="J15" s="40"/>
      <c r="K15" s="40"/>
      <c r="L15" s="40"/>
      <c r="M15" s="40"/>
      <c r="N15" s="40"/>
      <c r="O15" s="40"/>
    </row>
    <row r="16" customHeight="1" spans="1:15">
      <c r="A16" s="41" t="s">
        <v>28</v>
      </c>
      <c r="B16" s="41">
        <v>931.69</v>
      </c>
      <c r="C16" s="2"/>
      <c r="D16" s="2"/>
      <c r="E16" s="2"/>
      <c r="F16" s="53">
        <v>76.31</v>
      </c>
      <c r="G16" s="54">
        <v>197.61</v>
      </c>
      <c r="H16" s="55"/>
      <c r="I16" s="45">
        <v>273.92</v>
      </c>
      <c r="J16" s="40">
        <v>76.31</v>
      </c>
      <c r="K16" s="40"/>
      <c r="L16" s="40"/>
      <c r="M16" s="40"/>
      <c r="N16" s="40"/>
      <c r="O16" s="40"/>
    </row>
    <row r="17" customHeight="1" spans="1:15">
      <c r="A17" s="41" t="s">
        <v>29</v>
      </c>
      <c r="B17" s="41">
        <v>679.09</v>
      </c>
      <c r="C17" s="2"/>
      <c r="D17" s="2"/>
      <c r="E17" s="41">
        <v>422.9</v>
      </c>
      <c r="F17" s="2"/>
      <c r="G17" s="41">
        <v>331.6</v>
      </c>
      <c r="H17" s="46">
        <v>196.48</v>
      </c>
      <c r="I17" s="45">
        <v>196.48</v>
      </c>
      <c r="J17" s="40"/>
      <c r="K17" s="40"/>
      <c r="L17" s="40"/>
      <c r="M17" s="40"/>
      <c r="N17" s="40"/>
      <c r="O17" s="40"/>
    </row>
    <row r="18" customHeight="1" spans="1:15">
      <c r="A18" s="41" t="s">
        <v>12</v>
      </c>
      <c r="B18" s="41">
        <v>345.1</v>
      </c>
      <c r="C18" s="2"/>
      <c r="D18" s="56">
        <v>62.6</v>
      </c>
      <c r="E18" s="41">
        <v>599.49</v>
      </c>
      <c r="F18" s="57" t="s">
        <v>30</v>
      </c>
      <c r="G18" s="46">
        <v>78.93</v>
      </c>
      <c r="H18" s="41">
        <v>114.76</v>
      </c>
      <c r="I18" s="45">
        <v>78.93</v>
      </c>
      <c r="J18" s="40"/>
      <c r="K18" s="40"/>
      <c r="L18" s="40"/>
      <c r="M18" s="40"/>
      <c r="N18" s="40"/>
      <c r="O18" s="40"/>
    </row>
    <row r="19" customHeight="1" spans="1:15">
      <c r="A19" s="41" t="s">
        <v>13</v>
      </c>
      <c r="B19" s="41">
        <v>989.9</v>
      </c>
      <c r="C19" s="2"/>
      <c r="D19" s="43">
        <v>48.66</v>
      </c>
      <c r="E19" s="43">
        <v>59.34</v>
      </c>
      <c r="F19" s="43">
        <v>65.37</v>
      </c>
      <c r="G19" s="41">
        <v>30</v>
      </c>
      <c r="H19" s="46">
        <v>274.35</v>
      </c>
      <c r="I19" s="45">
        <v>274.35</v>
      </c>
      <c r="J19" s="40"/>
      <c r="K19" s="40"/>
      <c r="L19" s="40"/>
      <c r="M19" s="40"/>
      <c r="N19" s="40"/>
      <c r="O19" s="40"/>
    </row>
    <row r="20" customHeight="1" spans="1:15">
      <c r="A20" s="41" t="s">
        <v>14</v>
      </c>
      <c r="B20" s="41">
        <v>1386.3</v>
      </c>
      <c r="C20" s="2"/>
      <c r="D20" s="2"/>
      <c r="E20" s="2"/>
      <c r="F20" s="2"/>
      <c r="G20" s="2"/>
      <c r="H20" s="2"/>
      <c r="I20" s="40"/>
      <c r="J20" s="40"/>
      <c r="K20" s="40"/>
      <c r="L20" s="40"/>
      <c r="M20" s="40"/>
      <c r="N20" s="40"/>
      <c r="O20" s="40"/>
    </row>
    <row r="21" customHeight="1" spans="1:15">
      <c r="A21" s="41" t="s">
        <v>15</v>
      </c>
      <c r="B21" s="41">
        <v>1386.3</v>
      </c>
      <c r="C21" s="2"/>
      <c r="D21" s="2"/>
      <c r="E21" s="2"/>
      <c r="F21" s="2"/>
      <c r="G21" s="2"/>
      <c r="H21" s="2"/>
      <c r="I21" s="40"/>
      <c r="J21" s="40"/>
      <c r="K21" s="40"/>
      <c r="L21" s="40"/>
      <c r="M21" s="40"/>
      <c r="N21" s="40"/>
      <c r="O21" s="40"/>
    </row>
    <row r="22" customHeight="1" spans="1:15">
      <c r="A22" s="41" t="s">
        <v>31</v>
      </c>
      <c r="B22" s="41">
        <v>860.8</v>
      </c>
      <c r="C22" s="2"/>
      <c r="D22" s="2"/>
      <c r="E22" s="41"/>
      <c r="F22" s="2"/>
      <c r="G22" s="2"/>
      <c r="H22" s="2"/>
      <c r="I22" s="40"/>
      <c r="J22" s="40"/>
      <c r="K22" s="40"/>
      <c r="L22" s="40"/>
      <c r="M22" s="40"/>
      <c r="N22" s="40"/>
      <c r="O22" s="40"/>
    </row>
    <row r="23" customHeight="1" spans="1:15">
      <c r="A23" s="40"/>
      <c r="B23" s="40"/>
      <c r="C23" s="40"/>
      <c r="D23" s="40"/>
      <c r="E23" s="40"/>
      <c r="F23" s="40"/>
      <c r="G23" s="40"/>
      <c r="H23" s="40"/>
      <c r="I23" s="40">
        <f>SUM(I3:I22)</f>
        <v>6532.17</v>
      </c>
      <c r="J23" s="40"/>
      <c r="K23" s="40"/>
      <c r="L23" s="40"/>
      <c r="M23" s="40"/>
      <c r="N23" s="40"/>
      <c r="O23" s="40"/>
    </row>
    <row r="24" customHeight="1" spans="1:15">
      <c r="A24" s="40"/>
      <c r="B24" s="40" t="s">
        <v>32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</row>
  </sheetData>
  <mergeCells count="20">
    <mergeCell ref="A1:H1"/>
    <mergeCell ref="B2:E2"/>
    <mergeCell ref="F2:H2"/>
    <mergeCell ref="B3:C3"/>
    <mergeCell ref="B4:H4"/>
    <mergeCell ref="B5:H5"/>
    <mergeCell ref="B6:H6"/>
    <mergeCell ref="B10:H10"/>
    <mergeCell ref="B15:D15"/>
    <mergeCell ref="F15:H15"/>
    <mergeCell ref="B16:E16"/>
    <mergeCell ref="G16:H16"/>
    <mergeCell ref="B17:D17"/>
    <mergeCell ref="E17:F17"/>
    <mergeCell ref="B18:C18"/>
    <mergeCell ref="B19:C19"/>
    <mergeCell ref="B20:H20"/>
    <mergeCell ref="B21:H21"/>
    <mergeCell ref="B22:D22"/>
    <mergeCell ref="E22:H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君联2楼"/>
  <dimension ref="A1:L33"/>
  <sheetViews>
    <sheetView workbookViewId="0">
      <selection activeCell="A1" sqref="A1:D9"/>
    </sheetView>
  </sheetViews>
  <sheetFormatPr defaultColWidth="14" defaultRowHeight="18" customHeight="1"/>
  <cols>
    <col min="1" max="3" width="9.70833333333333" customWidth="1"/>
    <col min="4" max="4" width="15.7083333333333" customWidth="1"/>
    <col min="5" max="12" width="9.70833333333333" customWidth="1"/>
  </cols>
  <sheetData>
    <row r="1" ht="16.5" spans="1:12">
      <c r="A1" s="5" t="s">
        <v>33</v>
      </c>
      <c r="B1" s="2"/>
      <c r="C1" s="2"/>
      <c r="D1" s="2"/>
      <c r="E1" s="1" t="s">
        <v>34</v>
      </c>
      <c r="F1" s="1" t="s">
        <v>35</v>
      </c>
      <c r="G1" s="1" t="s">
        <v>36</v>
      </c>
      <c r="H1" s="2"/>
      <c r="I1" s="6"/>
      <c r="J1" s="6"/>
      <c r="K1" s="6"/>
      <c r="L1" s="6"/>
    </row>
    <row r="2" ht="16.5" spans="1:12">
      <c r="A2" s="2"/>
      <c r="B2" s="2"/>
      <c r="C2" s="2"/>
      <c r="D2" s="2"/>
      <c r="E2" s="2"/>
      <c r="F2" s="2"/>
      <c r="G2" s="2"/>
      <c r="H2" s="2"/>
      <c r="I2" s="6"/>
      <c r="J2" s="6"/>
      <c r="K2" s="6"/>
      <c r="L2" s="6"/>
    </row>
    <row r="3" ht="16.5" spans="1:12">
      <c r="A3" s="2"/>
      <c r="B3" s="2"/>
      <c r="C3" s="2"/>
      <c r="D3" s="2"/>
      <c r="E3" s="2"/>
      <c r="F3" s="2"/>
      <c r="G3" s="2"/>
      <c r="H3" s="2"/>
      <c r="I3" s="6"/>
      <c r="J3" s="6"/>
      <c r="K3" s="6"/>
      <c r="L3" s="6"/>
    </row>
    <row r="4" ht="16.5" spans="1:12">
      <c r="A4" s="2"/>
      <c r="B4" s="2"/>
      <c r="C4" s="2"/>
      <c r="D4" s="2"/>
      <c r="E4" s="2"/>
      <c r="F4" s="2"/>
      <c r="G4" s="2"/>
      <c r="H4" s="2"/>
      <c r="I4" s="6"/>
      <c r="J4" s="6"/>
      <c r="K4" s="6"/>
      <c r="L4" s="6"/>
    </row>
    <row r="5" ht="16.5" spans="1:12">
      <c r="A5" s="2"/>
      <c r="B5" s="2"/>
      <c r="C5" s="2"/>
      <c r="D5" s="2"/>
      <c r="E5" s="2"/>
      <c r="F5" s="2"/>
      <c r="G5" s="2"/>
      <c r="H5" s="2"/>
      <c r="I5" s="6"/>
      <c r="J5" s="6"/>
      <c r="K5" s="6"/>
      <c r="L5" s="6"/>
    </row>
    <row r="6" ht="16.5" spans="1:12">
      <c r="A6" s="2"/>
      <c r="B6" s="2"/>
      <c r="C6" s="2"/>
      <c r="D6" s="2"/>
      <c r="E6" s="2"/>
      <c r="F6" s="2"/>
      <c r="G6" s="2"/>
      <c r="H6" s="2"/>
      <c r="I6" s="6"/>
      <c r="J6" s="6"/>
      <c r="K6" s="6"/>
      <c r="L6" s="6"/>
    </row>
    <row r="7" ht="16.5" spans="1:12">
      <c r="A7" s="2"/>
      <c r="B7" s="2"/>
      <c r="C7" s="2"/>
      <c r="D7" s="2"/>
      <c r="E7" s="2"/>
      <c r="F7" s="2"/>
      <c r="G7" s="2"/>
      <c r="H7" s="2"/>
      <c r="I7" s="6"/>
      <c r="J7" s="6"/>
      <c r="K7" s="6"/>
      <c r="L7" s="6"/>
    </row>
    <row r="8" ht="16.5" spans="1:12">
      <c r="A8" s="2"/>
      <c r="B8" s="2"/>
      <c r="C8" s="2"/>
      <c r="D8" s="2"/>
      <c r="E8" s="2"/>
      <c r="F8" s="2"/>
      <c r="G8" s="2"/>
      <c r="H8" s="2"/>
      <c r="I8" s="6"/>
      <c r="J8" s="6"/>
      <c r="K8" s="6"/>
      <c r="L8" s="6"/>
    </row>
    <row r="9" ht="16.5" spans="1:12">
      <c r="A9" s="2"/>
      <c r="B9" s="2"/>
      <c r="C9" s="2"/>
      <c r="D9" s="2"/>
      <c r="E9" s="2"/>
      <c r="F9" s="2"/>
      <c r="G9" s="2"/>
      <c r="H9" s="2"/>
      <c r="I9" s="6"/>
      <c r="J9" s="6"/>
      <c r="K9" s="6"/>
      <c r="L9" s="6"/>
    </row>
    <row r="10" ht="27" spans="1:12">
      <c r="A10" s="37" t="s">
        <v>33</v>
      </c>
      <c r="B10" s="38"/>
      <c r="C10" s="6"/>
      <c r="D10" s="18" t="s">
        <v>37</v>
      </c>
      <c r="E10" s="2"/>
      <c r="F10" s="2"/>
      <c r="G10" s="2"/>
      <c r="H10" s="2"/>
      <c r="I10" s="6"/>
      <c r="J10" s="6"/>
      <c r="K10" s="6"/>
      <c r="L10" s="6"/>
    </row>
    <row r="11" ht="16.5" spans="1:12">
      <c r="A11" s="38"/>
      <c r="B11" s="38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ht="16.5" spans="1:12">
      <c r="A12" s="38"/>
      <c r="B12" s="38"/>
      <c r="C12" s="6"/>
      <c r="D12" s="6"/>
      <c r="E12" s="6"/>
      <c r="F12" s="6"/>
      <c r="G12" s="6"/>
      <c r="H12" s="6"/>
      <c r="I12" s="6"/>
      <c r="J12" s="17" t="s">
        <v>38</v>
      </c>
      <c r="K12" s="2"/>
      <c r="L12" s="2"/>
    </row>
    <row r="13" ht="16.5" spans="1:12">
      <c r="A13" s="38"/>
      <c r="B13" s="38"/>
      <c r="C13" s="6"/>
      <c r="D13" s="6"/>
      <c r="E13" s="6"/>
      <c r="F13" s="6"/>
      <c r="G13" s="6"/>
      <c r="H13" s="6"/>
      <c r="I13" s="6"/>
      <c r="J13" s="2"/>
      <c r="K13" s="2"/>
      <c r="L13" s="2"/>
    </row>
    <row r="14" ht="16.5" spans="1:12">
      <c r="A14" s="38"/>
      <c r="B14" s="38"/>
      <c r="C14" s="6"/>
      <c r="D14" s="6"/>
      <c r="E14" s="6"/>
      <c r="F14" s="6"/>
      <c r="G14" s="6"/>
      <c r="H14" s="6"/>
      <c r="I14" s="6"/>
      <c r="J14" s="2"/>
      <c r="K14" s="2"/>
      <c r="L14" s="2"/>
    </row>
    <row r="15" ht="16.5" spans="1:12">
      <c r="A15" s="38"/>
      <c r="B15" s="38"/>
      <c r="C15" s="6"/>
      <c r="D15" s="6"/>
      <c r="E15" s="6"/>
      <c r="F15" s="6"/>
      <c r="G15" s="6"/>
      <c r="H15" s="6"/>
      <c r="I15" s="6"/>
      <c r="J15" s="2"/>
      <c r="K15" s="2"/>
      <c r="L15" s="2"/>
    </row>
    <row r="16" ht="16.5" spans="1:12">
      <c r="A16" s="38"/>
      <c r="B16" s="38"/>
      <c r="C16" s="6"/>
      <c r="D16" s="6"/>
      <c r="E16" s="6"/>
      <c r="F16" s="6"/>
      <c r="G16" s="6"/>
      <c r="H16" s="6"/>
      <c r="I16" s="6"/>
      <c r="J16" s="17" t="s">
        <v>39</v>
      </c>
      <c r="K16" s="2"/>
      <c r="L16" s="2"/>
    </row>
    <row r="17" ht="16.5" spans="1:12">
      <c r="A17" s="38"/>
      <c r="B17" s="38"/>
      <c r="C17" s="6"/>
      <c r="D17" s="6"/>
      <c r="E17" s="6"/>
      <c r="F17" s="6"/>
      <c r="G17" s="6"/>
      <c r="H17" s="6"/>
      <c r="I17" s="6"/>
      <c r="J17" s="2"/>
      <c r="K17" s="2"/>
      <c r="L17" s="2"/>
    </row>
    <row r="18" ht="16.5" spans="1:12">
      <c r="A18" s="38"/>
      <c r="B18" s="38"/>
      <c r="C18" s="6"/>
      <c r="D18" s="6"/>
      <c r="E18" s="6"/>
      <c r="F18" s="6"/>
      <c r="G18" s="6"/>
      <c r="H18" s="4" t="s">
        <v>40</v>
      </c>
      <c r="I18" s="6"/>
      <c r="J18" s="17" t="s">
        <v>41</v>
      </c>
      <c r="K18" s="2"/>
      <c r="L18" s="2"/>
    </row>
    <row r="19" ht="24.75" customHeight="1" spans="1:12">
      <c r="A19" s="38"/>
      <c r="B19" s="38"/>
      <c r="C19" s="6"/>
      <c r="D19" s="6"/>
      <c r="E19" s="6"/>
      <c r="F19" s="6"/>
      <c r="G19" s="6"/>
      <c r="H19" s="2"/>
      <c r="I19" s="6"/>
      <c r="J19" s="2"/>
      <c r="K19" s="2"/>
      <c r="L19" s="2"/>
    </row>
    <row r="20" ht="16.5" spans="1:12">
      <c r="A20" s="4" t="s">
        <v>42</v>
      </c>
      <c r="B20" s="6"/>
      <c r="C20" s="6"/>
      <c r="D20" s="6"/>
      <c r="E20" s="6"/>
      <c r="F20" s="6"/>
      <c r="G20" s="6"/>
      <c r="H20" s="6"/>
      <c r="I20" s="6"/>
      <c r="J20" s="2"/>
      <c r="K20" s="2"/>
      <c r="L20" s="2"/>
    </row>
    <row r="21" ht="16.5" spans="1:12">
      <c r="A21" s="2"/>
      <c r="B21" s="6"/>
      <c r="C21" s="6"/>
      <c r="D21" s="6"/>
      <c r="E21" s="6"/>
      <c r="F21" s="6"/>
      <c r="G21" s="6"/>
      <c r="H21" s="6"/>
      <c r="I21" s="6"/>
      <c r="J21" s="2"/>
      <c r="K21" s="2"/>
      <c r="L21" s="2"/>
    </row>
    <row r="22" ht="16.5" spans="1:12">
      <c r="A22" s="2"/>
      <c r="B22" s="6"/>
      <c r="C22" s="6"/>
      <c r="D22" s="6"/>
      <c r="E22" s="6"/>
      <c r="F22" s="6"/>
      <c r="G22" s="6"/>
      <c r="H22" s="6"/>
      <c r="I22" s="6"/>
      <c r="J22" s="2"/>
      <c r="K22" s="2"/>
      <c r="L22" s="2"/>
    </row>
    <row r="23" ht="16.5" spans="1:12">
      <c r="A23" s="6"/>
      <c r="B23" s="6"/>
      <c r="C23" s="6"/>
      <c r="D23" s="6"/>
      <c r="E23" s="6"/>
      <c r="F23" s="6"/>
      <c r="G23" s="6"/>
      <c r="H23" s="6"/>
      <c r="I23" s="6"/>
      <c r="J23" s="2"/>
      <c r="K23" s="2"/>
      <c r="L23" s="2"/>
    </row>
    <row r="24" ht="16.5" spans="1:12">
      <c r="A24" s="6"/>
      <c r="B24" s="6"/>
      <c r="C24" s="9" t="s">
        <v>43</v>
      </c>
      <c r="D24" s="10" t="s">
        <v>18</v>
      </c>
      <c r="E24" s="12" t="s">
        <v>44</v>
      </c>
      <c r="F24" s="6" t="s">
        <v>45</v>
      </c>
      <c r="G24" s="6"/>
      <c r="H24" s="6"/>
      <c r="I24" s="6"/>
      <c r="J24" s="2"/>
      <c r="K24" s="2"/>
      <c r="L24" s="2"/>
    </row>
    <row r="25" ht="16.5" spans="1:12">
      <c r="A25" s="13" t="s">
        <v>46</v>
      </c>
      <c r="H25" s="6"/>
      <c r="I25" s="6"/>
      <c r="J25" s="6"/>
      <c r="K25" s="6"/>
      <c r="L25" s="6"/>
    </row>
    <row r="26" ht="16.5" spans="1:1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ht="16.5" spans="1:1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ht="16.5" spans="1:1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ht="16.5" spans="1:1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ht="16.5" spans="1:12">
      <c r="A30" s="6"/>
      <c r="B30" s="6"/>
      <c r="C30" s="6"/>
      <c r="D30" s="6"/>
      <c r="E30" s="6"/>
      <c r="F30" s="6"/>
      <c r="G30" s="6"/>
      <c r="H30" s="6"/>
      <c r="I30" s="6"/>
      <c r="J30" s="5" t="s">
        <v>47</v>
      </c>
      <c r="K30" s="2"/>
      <c r="L30" s="2"/>
    </row>
    <row r="31" ht="16.5" spans="1:12">
      <c r="A31" s="6"/>
      <c r="B31" s="6"/>
      <c r="C31" s="6"/>
      <c r="D31" s="6"/>
      <c r="E31" s="6"/>
      <c r="F31" s="6"/>
      <c r="G31" s="6"/>
      <c r="H31" s="6"/>
      <c r="I31" s="6"/>
      <c r="J31" s="2"/>
      <c r="K31" s="2"/>
      <c r="L31" s="2"/>
    </row>
    <row r="32" ht="16.5" spans="1:12">
      <c r="A32" s="6"/>
      <c r="B32" s="6"/>
      <c r="C32" s="6"/>
      <c r="D32" s="6"/>
      <c r="E32" s="6"/>
      <c r="F32" s="6"/>
      <c r="G32" s="6"/>
      <c r="H32" s="6"/>
      <c r="I32" s="6"/>
      <c r="J32" s="5" t="s">
        <v>48</v>
      </c>
      <c r="K32" s="2"/>
      <c r="L32" s="2"/>
    </row>
    <row r="33" ht="16.5" spans="1:12">
      <c r="A33" s="6"/>
      <c r="B33" s="6"/>
      <c r="C33" s="6"/>
      <c r="D33" s="6"/>
      <c r="E33" s="6"/>
      <c r="F33" s="6"/>
      <c r="G33" s="6"/>
      <c r="H33" s="6"/>
      <c r="I33" s="6"/>
      <c r="J33" s="2"/>
      <c r="K33" s="2"/>
      <c r="L33" s="2"/>
    </row>
  </sheetData>
  <mergeCells count="13">
    <mergeCell ref="A25:G25"/>
    <mergeCell ref="A20:A22"/>
    <mergeCell ref="E1:E10"/>
    <mergeCell ref="F1:F10"/>
    <mergeCell ref="H18:H19"/>
    <mergeCell ref="A1:D9"/>
    <mergeCell ref="G1:H10"/>
    <mergeCell ref="A10:B19"/>
    <mergeCell ref="J12:L15"/>
    <mergeCell ref="J16:L17"/>
    <mergeCell ref="J18:L24"/>
    <mergeCell ref="J30:L31"/>
    <mergeCell ref="J32:L3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君联7楼"/>
  <dimension ref="A1:N19"/>
  <sheetViews>
    <sheetView workbookViewId="0">
      <selection activeCell="A1" sqref="A1:C3"/>
    </sheetView>
  </sheetViews>
  <sheetFormatPr defaultColWidth="14" defaultRowHeight="18" customHeight="1"/>
  <cols>
    <col min="1" max="3" width="9.70833333333333" customWidth="1"/>
    <col min="4" max="4" width="11.7083333333333" customWidth="1"/>
    <col min="5" max="6" width="9.70833333333333" customWidth="1"/>
    <col min="7" max="7" width="13.7083333333333" customWidth="1"/>
    <col min="8" max="14" width="9.70833333333333" customWidth="1"/>
  </cols>
  <sheetData>
    <row r="1" ht="16.5" spans="1:14">
      <c r="A1" s="21" t="s">
        <v>49</v>
      </c>
      <c r="B1" s="2"/>
      <c r="C1" s="2"/>
      <c r="D1" s="5" t="s">
        <v>50</v>
      </c>
      <c r="E1" s="2"/>
      <c r="F1" s="5" t="s">
        <v>51</v>
      </c>
      <c r="G1" s="2"/>
      <c r="H1" s="2"/>
      <c r="I1" s="2"/>
      <c r="J1" s="5" t="s">
        <v>52</v>
      </c>
      <c r="K1" s="2"/>
      <c r="L1" s="7" t="s">
        <v>53</v>
      </c>
      <c r="M1" s="4" t="s">
        <v>54</v>
      </c>
      <c r="N1" s="6"/>
    </row>
    <row r="2" ht="16.5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6"/>
    </row>
    <row r="3" ht="29.25" customHeight="1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6"/>
    </row>
    <row r="4" ht="28.5" customHeight="1" spans="1:14">
      <c r="A4" s="7" t="s">
        <v>55</v>
      </c>
      <c r="B4" s="2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ht="16.5" spans="1:14">
      <c r="A5" s="7" t="s">
        <v>56</v>
      </c>
      <c r="B5" s="2"/>
      <c r="C5" s="6"/>
      <c r="D5" s="6"/>
      <c r="E5" s="6"/>
      <c r="F5" s="6"/>
      <c r="G5" s="6"/>
      <c r="H5" s="6"/>
      <c r="I5" s="6"/>
      <c r="J5" s="6"/>
      <c r="K5" s="6"/>
      <c r="L5" s="6"/>
      <c r="M5" s="5" t="s">
        <v>57</v>
      </c>
      <c r="N5" s="2"/>
    </row>
    <row r="6" ht="16.5" spans="1:14">
      <c r="A6" s="2"/>
      <c r="B6" s="2"/>
      <c r="C6" s="6"/>
      <c r="D6" s="6"/>
      <c r="E6" s="6"/>
      <c r="F6" s="6"/>
      <c r="G6" s="6"/>
      <c r="H6" s="6"/>
      <c r="I6" s="6"/>
      <c r="J6" s="6"/>
      <c r="K6" s="6"/>
      <c r="L6" s="6"/>
      <c r="M6" s="2"/>
      <c r="N6" s="2"/>
    </row>
    <row r="7" ht="16.5" spans="1:14">
      <c r="A7" s="2"/>
      <c r="B7" s="2"/>
      <c r="C7" s="6"/>
      <c r="D7" s="6"/>
      <c r="E7" s="6"/>
      <c r="F7" s="6"/>
      <c r="G7" s="6"/>
      <c r="H7" s="6"/>
      <c r="I7" s="6"/>
      <c r="J7" s="6"/>
      <c r="K7" s="6"/>
      <c r="L7" s="6"/>
      <c r="M7" s="2"/>
      <c r="N7" s="2"/>
    </row>
    <row r="8" ht="16.5" spans="1:14">
      <c r="A8" s="7" t="s">
        <v>58</v>
      </c>
      <c r="B8" s="2"/>
      <c r="C8" s="6"/>
      <c r="D8" s="6"/>
      <c r="E8" s="6"/>
      <c r="F8" s="6"/>
      <c r="G8" s="6"/>
      <c r="H8" s="6"/>
      <c r="I8" s="6"/>
      <c r="J8" s="6"/>
      <c r="K8" s="6"/>
      <c r="L8" s="6"/>
      <c r="M8" s="36" t="s">
        <v>59</v>
      </c>
      <c r="N8" s="2"/>
    </row>
    <row r="9" ht="16.5" spans="1:14">
      <c r="A9" s="2"/>
      <c r="B9" s="2"/>
      <c r="C9" s="6"/>
      <c r="D9" s="6"/>
      <c r="E9" s="6"/>
      <c r="F9" s="6"/>
      <c r="G9" s="6"/>
      <c r="H9" s="6"/>
      <c r="I9" s="6"/>
      <c r="J9" s="6"/>
      <c r="K9" s="6"/>
      <c r="L9" s="6"/>
      <c r="M9" s="2"/>
      <c r="N9" s="2"/>
    </row>
    <row r="10" ht="16.5" spans="1:14">
      <c r="A10" s="2"/>
      <c r="B10" s="2"/>
      <c r="C10" s="6"/>
      <c r="D10" s="6"/>
      <c r="E10" s="6"/>
      <c r="F10" s="6"/>
      <c r="G10" s="6"/>
      <c r="H10" s="6"/>
      <c r="I10" s="6"/>
      <c r="J10" s="6"/>
      <c r="K10" s="6"/>
      <c r="L10" s="6"/>
      <c r="M10" s="2"/>
      <c r="N10" s="2"/>
    </row>
    <row r="11" ht="16.5" spans="1:14">
      <c r="A11" s="4" t="s">
        <v>60</v>
      </c>
      <c r="B11" s="2"/>
      <c r="C11" s="6"/>
      <c r="D11" s="4" t="s">
        <v>61</v>
      </c>
      <c r="E11" s="6"/>
      <c r="F11" s="6"/>
      <c r="G11" s="6"/>
      <c r="H11" s="6"/>
      <c r="I11" s="6"/>
      <c r="J11" s="6"/>
      <c r="K11" s="6"/>
      <c r="L11" s="6"/>
      <c r="M11" s="5" t="s">
        <v>62</v>
      </c>
      <c r="N11" s="2"/>
    </row>
    <row r="12" ht="16.5" spans="1:14">
      <c r="A12" s="2"/>
      <c r="B12" s="2"/>
      <c r="C12" s="6"/>
      <c r="D12" s="2"/>
      <c r="E12" s="6"/>
      <c r="F12" s="6"/>
      <c r="G12" s="6"/>
      <c r="H12" s="6"/>
      <c r="I12" s="6"/>
      <c r="J12" s="6"/>
      <c r="K12" s="6"/>
      <c r="L12" s="6"/>
      <c r="M12" s="2"/>
      <c r="N12" s="2"/>
    </row>
    <row r="13" ht="16.5" spans="1:14">
      <c r="A13" s="2"/>
      <c r="B13" s="2"/>
      <c r="C13" s="6"/>
      <c r="D13" s="6"/>
      <c r="E13" s="6"/>
      <c r="F13" s="6"/>
      <c r="G13" s="6"/>
      <c r="H13" s="6"/>
      <c r="I13" s="6"/>
      <c r="J13" s="6"/>
      <c r="K13" s="6"/>
      <c r="L13" s="6"/>
      <c r="M13" s="2"/>
      <c r="N13" s="2"/>
    </row>
    <row r="14" ht="16.5" spans="1:14">
      <c r="A14" s="7" t="s">
        <v>63</v>
      </c>
      <c r="B14" s="2"/>
      <c r="C14" s="6"/>
      <c r="D14" s="7" t="s">
        <v>64</v>
      </c>
      <c r="E14" s="4" t="s">
        <v>65</v>
      </c>
      <c r="F14" s="4" t="s">
        <v>66</v>
      </c>
      <c r="G14" s="2"/>
      <c r="H14" s="4" t="s">
        <v>67</v>
      </c>
      <c r="I14" s="2"/>
      <c r="J14" s="5" t="s">
        <v>68</v>
      </c>
      <c r="K14" s="2"/>
      <c r="L14" s="6"/>
      <c r="M14" s="4" t="s">
        <v>69</v>
      </c>
      <c r="N14" s="2"/>
    </row>
    <row r="15" ht="16.5" spans="1:14">
      <c r="A15" s="2"/>
      <c r="B15" s="2"/>
      <c r="C15" s="6"/>
      <c r="D15" s="2"/>
      <c r="E15" s="2"/>
      <c r="F15" s="2"/>
      <c r="G15" s="2"/>
      <c r="H15" s="2"/>
      <c r="I15" s="2"/>
      <c r="J15" s="2"/>
      <c r="K15" s="2"/>
      <c r="L15" s="6"/>
      <c r="M15" s="2"/>
      <c r="N15" s="2"/>
    </row>
    <row r="16" ht="16.5" spans="1:14">
      <c r="A16" s="2"/>
      <c r="B16" s="2"/>
      <c r="C16" s="6"/>
      <c r="D16" s="2"/>
      <c r="E16" s="2"/>
      <c r="F16" s="2"/>
      <c r="G16" s="2"/>
      <c r="H16" s="2"/>
      <c r="I16" s="2"/>
      <c r="J16" s="2"/>
      <c r="K16" s="2"/>
      <c r="L16" s="6"/>
      <c r="M16" s="2"/>
      <c r="N16" s="2"/>
    </row>
    <row r="17" ht="16.5" spans="1:1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ht="16.5" spans="1:14">
      <c r="A18" s="6"/>
      <c r="B18" s="6"/>
      <c r="C18" s="6"/>
      <c r="D18" s="9" t="s">
        <v>43</v>
      </c>
      <c r="E18" s="10" t="s">
        <v>18</v>
      </c>
      <c r="F18" s="11" t="s">
        <v>70</v>
      </c>
      <c r="G18" s="10" t="s">
        <v>71</v>
      </c>
      <c r="H18" s="12" t="s">
        <v>44</v>
      </c>
      <c r="I18" s="6" t="s">
        <v>45</v>
      </c>
      <c r="J18" s="26" t="s">
        <v>72</v>
      </c>
      <c r="K18" s="6" t="s">
        <v>73</v>
      </c>
      <c r="L18" s="6"/>
      <c r="M18" s="6"/>
      <c r="N18" s="6"/>
    </row>
    <row r="19" ht="16.5" spans="1:14">
      <c r="A19" s="6"/>
      <c r="B19" s="6"/>
      <c r="C19" s="6"/>
      <c r="D19" s="13" t="s">
        <v>74</v>
      </c>
      <c r="L19" s="6"/>
      <c r="M19" s="6"/>
      <c r="N19" s="6"/>
    </row>
  </sheetData>
  <mergeCells count="22">
    <mergeCell ref="A4:B4"/>
    <mergeCell ref="D19:K19"/>
    <mergeCell ref="D11:D12"/>
    <mergeCell ref="D14:D16"/>
    <mergeCell ref="E14:E16"/>
    <mergeCell ref="L1:L3"/>
    <mergeCell ref="M1:M3"/>
    <mergeCell ref="A1:C3"/>
    <mergeCell ref="D1:E3"/>
    <mergeCell ref="J1:K3"/>
    <mergeCell ref="F1:I3"/>
    <mergeCell ref="A5:B7"/>
    <mergeCell ref="M5:N7"/>
    <mergeCell ref="A8:B10"/>
    <mergeCell ref="M8:N10"/>
    <mergeCell ref="A11:B13"/>
    <mergeCell ref="M11:N13"/>
    <mergeCell ref="A14:B16"/>
    <mergeCell ref="M14:N16"/>
    <mergeCell ref="F14:G16"/>
    <mergeCell ref="H14:I16"/>
    <mergeCell ref="J14:K1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君联8楼"/>
  <dimension ref="A1:N19"/>
  <sheetViews>
    <sheetView workbookViewId="0">
      <selection activeCell="A1" sqref="A1"/>
    </sheetView>
  </sheetViews>
  <sheetFormatPr defaultColWidth="14" defaultRowHeight="18" customHeight="1"/>
  <cols>
    <col min="1" max="2" width="9.70833333333333" customWidth="1"/>
    <col min="3" max="3" width="16.7083333333333" customWidth="1"/>
    <col min="4" max="4" width="10.7083333333333" customWidth="1"/>
    <col min="5" max="6" width="9.70833333333333" customWidth="1"/>
    <col min="7" max="7" width="12.7083333333333" customWidth="1"/>
    <col min="8" max="10" width="9.70833333333333" customWidth="1"/>
    <col min="11" max="11" width="11.7083333333333" customWidth="1"/>
    <col min="12" max="14" width="9.70833333333333" customWidth="1"/>
  </cols>
  <sheetData>
    <row r="1" ht="16.5" spans="1:14">
      <c r="A1" s="14"/>
      <c r="B1" s="7" t="s">
        <v>75</v>
      </c>
      <c r="C1" s="2"/>
      <c r="D1" s="4" t="s">
        <v>76</v>
      </c>
      <c r="E1" s="2"/>
      <c r="F1" s="21" t="s">
        <v>77</v>
      </c>
      <c r="G1" s="2"/>
      <c r="H1" s="2"/>
      <c r="I1" s="2"/>
      <c r="J1" s="7" t="s">
        <v>78</v>
      </c>
      <c r="K1" s="2"/>
      <c r="L1" s="7" t="s">
        <v>79</v>
      </c>
      <c r="M1" s="4" t="s">
        <v>80</v>
      </c>
      <c r="N1" s="2"/>
    </row>
    <row r="2" ht="16.5" spans="1:14">
      <c r="A2" s="1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3.25" customHeight="1" spans="1:14">
      <c r="A3" s="15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27" spans="1:14">
      <c r="A4" s="8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16" t="s">
        <v>81</v>
      </c>
    </row>
    <row r="5" ht="16.5" spans="1:14">
      <c r="A5" s="4" t="s">
        <v>82</v>
      </c>
      <c r="B5" s="2"/>
      <c r="C5" s="6"/>
      <c r="D5" s="6"/>
      <c r="E5" s="6"/>
      <c r="F5" s="6"/>
      <c r="G5" s="6"/>
      <c r="H5" s="6"/>
      <c r="I5" s="6"/>
      <c r="J5" s="6"/>
      <c r="K5" s="6"/>
      <c r="L5" s="6"/>
      <c r="M5" s="5" t="s">
        <v>83</v>
      </c>
      <c r="N5" s="2"/>
    </row>
    <row r="6" ht="16.5" spans="1:14">
      <c r="A6" s="2"/>
      <c r="B6" s="2"/>
      <c r="C6" s="6"/>
      <c r="D6" s="6"/>
      <c r="E6" s="6"/>
      <c r="F6" s="6"/>
      <c r="G6" s="6"/>
      <c r="H6" s="6"/>
      <c r="I6" s="6"/>
      <c r="J6" s="6"/>
      <c r="K6" s="6"/>
      <c r="L6" s="6"/>
      <c r="M6" s="2"/>
      <c r="N6" s="2"/>
    </row>
    <row r="7" ht="16.5" spans="1:14">
      <c r="A7" s="2"/>
      <c r="B7" s="2"/>
      <c r="C7" s="6"/>
      <c r="D7" s="6"/>
      <c r="E7" s="6"/>
      <c r="F7" s="6"/>
      <c r="G7" s="6"/>
      <c r="H7" s="6"/>
      <c r="I7" s="6"/>
      <c r="J7" s="6"/>
      <c r="K7" s="6"/>
      <c r="L7" s="6"/>
      <c r="M7" s="2"/>
      <c r="N7" s="2"/>
    </row>
    <row r="8" ht="16.5" spans="1:14">
      <c r="A8" s="4" t="s">
        <v>84</v>
      </c>
      <c r="B8" s="2"/>
      <c r="C8" s="6"/>
      <c r="D8" s="6"/>
      <c r="E8" s="6"/>
      <c r="F8" s="6"/>
      <c r="G8" s="6"/>
      <c r="H8" s="6"/>
      <c r="I8" s="6"/>
      <c r="J8" s="6"/>
      <c r="K8" s="6"/>
      <c r="L8" s="6"/>
      <c r="M8" s="7" t="s">
        <v>85</v>
      </c>
      <c r="N8" s="2"/>
    </row>
    <row r="9" ht="16.5" spans="1:14">
      <c r="A9" s="2"/>
      <c r="B9" s="2"/>
      <c r="C9" s="6"/>
      <c r="D9" s="6"/>
      <c r="E9" s="6"/>
      <c r="F9" s="6"/>
      <c r="G9" s="6"/>
      <c r="H9" s="6"/>
      <c r="I9" s="6"/>
      <c r="J9" s="6"/>
      <c r="K9" s="6"/>
      <c r="L9" s="6"/>
      <c r="M9" s="2"/>
      <c r="N9" s="2"/>
    </row>
    <row r="10" ht="16.5" spans="1:14">
      <c r="A10" s="2"/>
      <c r="B10" s="2"/>
      <c r="C10" s="6"/>
      <c r="D10" s="6"/>
      <c r="E10" s="6"/>
      <c r="F10" s="6"/>
      <c r="G10" s="6"/>
      <c r="H10" s="6"/>
      <c r="I10" s="6"/>
      <c r="J10" s="6"/>
      <c r="K10" s="6"/>
      <c r="L10" s="6"/>
      <c r="M10" s="2"/>
      <c r="N10" s="2"/>
    </row>
    <row r="11" ht="16.5" spans="1:14">
      <c r="A11" s="7" t="s">
        <v>86</v>
      </c>
      <c r="B11" s="2"/>
      <c r="C11" s="6"/>
      <c r="D11" s="7" t="s">
        <v>87</v>
      </c>
      <c r="E11" s="6"/>
      <c r="F11" s="6"/>
      <c r="G11" s="6"/>
      <c r="H11" s="6"/>
      <c r="I11" s="6"/>
      <c r="J11" s="6"/>
      <c r="K11" s="6"/>
      <c r="L11" s="6"/>
      <c r="M11" s="4" t="s">
        <v>88</v>
      </c>
      <c r="N11" s="2"/>
    </row>
    <row r="12" ht="27" customHeight="1" spans="1:14">
      <c r="A12" s="2"/>
      <c r="B12" s="2"/>
      <c r="C12" s="6"/>
      <c r="D12" s="2"/>
      <c r="E12" s="6"/>
      <c r="F12" s="6"/>
      <c r="G12" s="6"/>
      <c r="H12" s="6"/>
      <c r="I12" s="6"/>
      <c r="J12" s="6"/>
      <c r="K12" s="6"/>
      <c r="L12" s="6"/>
      <c r="M12" s="2"/>
      <c r="N12" s="2"/>
    </row>
    <row r="13" ht="16.5" spans="1:14">
      <c r="A13" s="2"/>
      <c r="B13" s="2"/>
      <c r="C13" s="6"/>
      <c r="D13" s="6"/>
      <c r="E13" s="6"/>
      <c r="F13" s="6"/>
      <c r="G13" s="6"/>
      <c r="H13" s="6"/>
      <c r="I13" s="6"/>
      <c r="J13" s="6"/>
      <c r="K13" s="6"/>
      <c r="L13" s="6"/>
      <c r="M13" s="2"/>
      <c r="N13" s="2"/>
    </row>
    <row r="14" ht="16.5" spans="1:14">
      <c r="A14" s="7" t="s">
        <v>89</v>
      </c>
      <c r="B14" s="2"/>
      <c r="C14" s="31" t="s">
        <v>90</v>
      </c>
      <c r="D14" s="7" t="s">
        <v>91</v>
      </c>
      <c r="E14" s="2"/>
      <c r="F14" s="7" t="s">
        <v>92</v>
      </c>
      <c r="G14" s="2"/>
      <c r="H14" s="4" t="s">
        <v>93</v>
      </c>
      <c r="I14" s="2"/>
      <c r="J14" s="5" t="s">
        <v>94</v>
      </c>
      <c r="K14" s="2"/>
      <c r="L14" s="6"/>
      <c r="M14" s="4" t="s">
        <v>95</v>
      </c>
      <c r="N14" s="2"/>
    </row>
    <row r="15" ht="16.5" spans="1:14">
      <c r="A15" s="2"/>
      <c r="B15" s="2"/>
      <c r="D15" s="2"/>
      <c r="E15" s="2"/>
      <c r="F15" s="2"/>
      <c r="G15" s="2"/>
      <c r="H15" s="2"/>
      <c r="I15" s="2"/>
      <c r="J15" s="2"/>
      <c r="K15" s="2"/>
      <c r="L15" s="6"/>
      <c r="M15" s="2"/>
      <c r="N15" s="2"/>
    </row>
    <row r="16" ht="16.5" spans="1:14">
      <c r="A16" s="2"/>
      <c r="B16" s="2"/>
      <c r="D16" s="2"/>
      <c r="E16" s="2"/>
      <c r="F16" s="2"/>
      <c r="G16" s="2"/>
      <c r="H16" s="2"/>
      <c r="I16" s="2"/>
      <c r="J16" s="2"/>
      <c r="K16" s="2"/>
      <c r="L16" s="6"/>
      <c r="M16" s="2"/>
      <c r="N16" s="2"/>
    </row>
    <row r="17" ht="16.5" spans="1:1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ht="16.5" spans="1:14">
      <c r="A18" s="6"/>
      <c r="B18" s="6"/>
      <c r="C18" s="6"/>
      <c r="D18" s="9" t="s">
        <v>43</v>
      </c>
      <c r="E18" s="10" t="s">
        <v>18</v>
      </c>
      <c r="F18" s="11" t="s">
        <v>70</v>
      </c>
      <c r="G18" s="10" t="s">
        <v>71</v>
      </c>
      <c r="H18" s="12" t="s">
        <v>44</v>
      </c>
      <c r="I18" s="6" t="s">
        <v>45</v>
      </c>
      <c r="J18" s="26" t="s">
        <v>72</v>
      </c>
      <c r="K18" s="6" t="s">
        <v>73</v>
      </c>
      <c r="L18" s="6"/>
      <c r="M18" s="6"/>
      <c r="N18" s="6"/>
    </row>
    <row r="19" ht="16.5" spans="1:14">
      <c r="A19" s="6"/>
      <c r="B19" s="6"/>
      <c r="C19" s="6"/>
      <c r="D19" s="13" t="s">
        <v>96</v>
      </c>
      <c r="L19" s="6"/>
      <c r="M19" s="6"/>
      <c r="N19" s="6"/>
    </row>
  </sheetData>
  <mergeCells count="22">
    <mergeCell ref="A4:B4"/>
    <mergeCell ref="D19:K19"/>
    <mergeCell ref="C14:C16"/>
    <mergeCell ref="D11:D12"/>
    <mergeCell ref="L1:L3"/>
    <mergeCell ref="B1:C3"/>
    <mergeCell ref="D1:E3"/>
    <mergeCell ref="J1:K3"/>
    <mergeCell ref="F1:I3"/>
    <mergeCell ref="M1:N3"/>
    <mergeCell ref="A5:B7"/>
    <mergeCell ref="M5:N7"/>
    <mergeCell ref="A8:B10"/>
    <mergeCell ref="M8:N10"/>
    <mergeCell ref="A11:B13"/>
    <mergeCell ref="M11:N13"/>
    <mergeCell ref="A14:B16"/>
    <mergeCell ref="M14:N16"/>
    <mergeCell ref="D14:E16"/>
    <mergeCell ref="F14:G16"/>
    <mergeCell ref="H14:I16"/>
    <mergeCell ref="J14:K1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君联9楼"/>
  <dimension ref="A1:N19"/>
  <sheetViews>
    <sheetView workbookViewId="0">
      <selection activeCell="A1" sqref="A1:B1"/>
    </sheetView>
  </sheetViews>
  <sheetFormatPr defaultColWidth="14" defaultRowHeight="18" customHeight="1"/>
  <cols>
    <col min="1" max="6" width="9.70833333333333" customWidth="1"/>
    <col min="7" max="7" width="13.7083333333333" customWidth="1"/>
    <col min="8" max="14" width="9.70833333333333" customWidth="1"/>
  </cols>
  <sheetData>
    <row r="1" ht="27" spans="1:14">
      <c r="A1" s="7" t="s">
        <v>97</v>
      </c>
      <c r="B1" s="2"/>
      <c r="C1" s="32"/>
      <c r="D1" s="5" t="s">
        <v>98</v>
      </c>
      <c r="E1" s="2"/>
      <c r="F1" s="33" t="s">
        <v>99</v>
      </c>
      <c r="G1" s="34" t="s">
        <v>99</v>
      </c>
      <c r="H1" s="25"/>
      <c r="I1" s="25"/>
      <c r="J1" s="5" t="s">
        <v>100</v>
      </c>
      <c r="K1" s="2"/>
      <c r="L1" s="4" t="s">
        <v>101</v>
      </c>
      <c r="M1" s="7" t="s">
        <v>102</v>
      </c>
      <c r="N1" s="6"/>
    </row>
    <row r="2" ht="28.5" customHeight="1" spans="1:14">
      <c r="A2" s="7" t="s">
        <v>103</v>
      </c>
      <c r="B2" s="2"/>
      <c r="C2" s="35"/>
      <c r="D2" s="2"/>
      <c r="E2" s="2"/>
      <c r="F2" s="4" t="s">
        <v>104</v>
      </c>
      <c r="G2" s="25"/>
      <c r="H2" s="25"/>
      <c r="I2" s="25"/>
      <c r="J2" s="2"/>
      <c r="K2" s="2"/>
      <c r="L2" s="2"/>
      <c r="M2" s="2"/>
      <c r="N2" s="6"/>
    </row>
    <row r="3" ht="16.5" spans="1:14">
      <c r="A3" s="4" t="s">
        <v>105</v>
      </c>
      <c r="B3" s="2"/>
      <c r="C3" s="35"/>
      <c r="D3" s="2"/>
      <c r="E3" s="2"/>
      <c r="F3" s="2"/>
      <c r="G3" s="25"/>
      <c r="H3" s="25"/>
      <c r="I3" s="25"/>
      <c r="J3" s="2"/>
      <c r="K3" s="2"/>
      <c r="L3" s="2"/>
      <c r="M3" s="2"/>
      <c r="N3" s="6"/>
    </row>
    <row r="4" ht="16.5" spans="1:14">
      <c r="A4" s="2"/>
      <c r="B4" s="2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ht="16.5" spans="1:14">
      <c r="A5" s="7" t="s">
        <v>106</v>
      </c>
      <c r="B5" s="2"/>
      <c r="C5" s="6"/>
      <c r="D5" s="6"/>
      <c r="E5" s="6"/>
      <c r="F5" s="6"/>
      <c r="G5" s="6"/>
      <c r="H5" s="6"/>
      <c r="I5" s="6"/>
      <c r="J5" s="6"/>
      <c r="K5" s="6"/>
      <c r="L5" s="6"/>
      <c r="M5" s="4" t="s">
        <v>107</v>
      </c>
      <c r="N5" s="2"/>
    </row>
    <row r="6" ht="16.5" spans="1:14">
      <c r="A6" s="2"/>
      <c r="B6" s="2"/>
      <c r="C6" s="6"/>
      <c r="D6" s="6"/>
      <c r="E6" s="6"/>
      <c r="F6" s="6"/>
      <c r="G6" s="6"/>
      <c r="H6" s="6"/>
      <c r="I6" s="6"/>
      <c r="J6" s="6"/>
      <c r="K6" s="6"/>
      <c r="L6" s="6"/>
      <c r="M6" s="2"/>
      <c r="N6" s="2"/>
    </row>
    <row r="7" ht="16.5" spans="1:14">
      <c r="A7" s="2"/>
      <c r="B7" s="2"/>
      <c r="C7" s="6"/>
      <c r="D7" s="6"/>
      <c r="E7" s="6"/>
      <c r="F7" s="6"/>
      <c r="G7" s="6"/>
      <c r="H7" s="6"/>
      <c r="I7" s="6"/>
      <c r="J7" s="6"/>
      <c r="K7" s="6"/>
      <c r="L7" s="6"/>
      <c r="M7" s="2"/>
      <c r="N7" s="2"/>
    </row>
    <row r="8" ht="16.5" spans="1:14">
      <c r="A8" s="7" t="s">
        <v>108</v>
      </c>
      <c r="B8" s="2"/>
      <c r="C8" s="6"/>
      <c r="D8" s="6"/>
      <c r="E8" s="6"/>
      <c r="F8" s="6"/>
      <c r="G8" s="6"/>
      <c r="H8" s="6"/>
      <c r="I8" s="6"/>
      <c r="J8" s="6"/>
      <c r="K8" s="6"/>
      <c r="L8" s="6"/>
      <c r="M8" s="7" t="s">
        <v>109</v>
      </c>
      <c r="N8" s="2"/>
    </row>
    <row r="9" ht="16.5" spans="1:14">
      <c r="A9" s="2"/>
      <c r="B9" s="2"/>
      <c r="C9" s="6"/>
      <c r="D9" s="6"/>
      <c r="E9" s="6"/>
      <c r="F9" s="6"/>
      <c r="G9" s="6"/>
      <c r="H9" s="6"/>
      <c r="I9" s="6"/>
      <c r="J9" s="6"/>
      <c r="K9" s="6"/>
      <c r="L9" s="6"/>
      <c r="M9" s="2"/>
      <c r="N9" s="2"/>
    </row>
    <row r="10" ht="16.5" spans="1:14">
      <c r="A10" s="2"/>
      <c r="B10" s="2"/>
      <c r="C10" s="6"/>
      <c r="D10" s="6"/>
      <c r="E10" s="6"/>
      <c r="F10" s="6"/>
      <c r="G10" s="6"/>
      <c r="H10" s="6"/>
      <c r="I10" s="6"/>
      <c r="J10" s="6"/>
      <c r="K10" s="6"/>
      <c r="L10" s="6"/>
      <c r="M10" s="2"/>
      <c r="N10" s="2"/>
    </row>
    <row r="11" ht="16.5" spans="1:14">
      <c r="A11" s="4" t="s">
        <v>110</v>
      </c>
      <c r="B11" s="2"/>
      <c r="C11" s="6"/>
      <c r="D11" s="4" t="s">
        <v>111</v>
      </c>
      <c r="E11" s="6"/>
      <c r="F11" s="6"/>
      <c r="G11" s="6"/>
      <c r="H11" s="6"/>
      <c r="I11" s="6"/>
      <c r="J11" s="6"/>
      <c r="K11" s="6"/>
      <c r="L11" s="6"/>
      <c r="M11" s="4" t="s">
        <v>112</v>
      </c>
      <c r="N11" s="2"/>
    </row>
    <row r="12" ht="22.5" customHeight="1" spans="1:14">
      <c r="A12" s="2"/>
      <c r="B12" s="2"/>
      <c r="C12" s="6"/>
      <c r="D12" s="2"/>
      <c r="E12" s="6"/>
      <c r="F12" s="6"/>
      <c r="G12" s="6"/>
      <c r="H12" s="6"/>
      <c r="I12" s="6"/>
      <c r="J12" s="6"/>
      <c r="K12" s="6"/>
      <c r="L12" s="6"/>
      <c r="M12" s="2"/>
      <c r="N12" s="2"/>
    </row>
    <row r="13" ht="16.5" spans="1:14">
      <c r="A13" s="2"/>
      <c r="B13" s="2"/>
      <c r="C13" s="6"/>
      <c r="D13" s="6"/>
      <c r="E13" s="6"/>
      <c r="F13" s="6"/>
      <c r="G13" s="6"/>
      <c r="H13" s="6"/>
      <c r="I13" s="6"/>
      <c r="J13" s="6"/>
      <c r="K13" s="6"/>
      <c r="L13" s="6"/>
      <c r="M13" s="2"/>
      <c r="N13" s="2"/>
    </row>
    <row r="14" ht="16.5" spans="1:14">
      <c r="A14" s="5" t="s">
        <v>113</v>
      </c>
      <c r="B14" s="2"/>
      <c r="C14" s="6"/>
      <c r="D14" s="4" t="s">
        <v>114</v>
      </c>
      <c r="E14" s="4" t="s">
        <v>115</v>
      </c>
      <c r="F14" s="7" t="s">
        <v>116</v>
      </c>
      <c r="G14" s="2"/>
      <c r="H14" s="4" t="s">
        <v>117</v>
      </c>
      <c r="I14" s="2"/>
      <c r="J14" s="4" t="s">
        <v>118</v>
      </c>
      <c r="K14" s="2"/>
      <c r="L14" s="6"/>
      <c r="M14" s="4" t="s">
        <v>119</v>
      </c>
      <c r="N14" s="2"/>
    </row>
    <row r="15" ht="16.5" spans="1:14">
      <c r="A15" s="2"/>
      <c r="B15" s="2"/>
      <c r="C15" s="6"/>
      <c r="D15" s="2"/>
      <c r="E15" s="2"/>
      <c r="F15" s="2"/>
      <c r="G15" s="2"/>
      <c r="H15" s="2"/>
      <c r="I15" s="2"/>
      <c r="J15" s="4" t="s">
        <v>120</v>
      </c>
      <c r="K15" s="2"/>
      <c r="L15" s="6"/>
      <c r="M15" s="2"/>
      <c r="N15" s="2"/>
    </row>
    <row r="16" ht="16.5" spans="1:14">
      <c r="A16" s="2"/>
      <c r="B16" s="2"/>
      <c r="C16" s="6"/>
      <c r="D16" s="2"/>
      <c r="E16" s="2"/>
      <c r="F16" s="2"/>
      <c r="G16" s="2"/>
      <c r="H16" s="2"/>
      <c r="I16" s="2"/>
      <c r="J16" s="2"/>
      <c r="K16" s="2"/>
      <c r="L16" s="6"/>
      <c r="M16" s="2"/>
      <c r="N16" s="2"/>
    </row>
    <row r="17" ht="16.5" spans="1:1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ht="16.5" spans="1:14">
      <c r="A18" s="6"/>
      <c r="B18" s="6"/>
      <c r="C18" s="6"/>
      <c r="D18" s="9" t="s">
        <v>43</v>
      </c>
      <c r="E18" s="10" t="s">
        <v>18</v>
      </c>
      <c r="F18" s="11" t="s">
        <v>70</v>
      </c>
      <c r="G18" s="10" t="s">
        <v>71</v>
      </c>
      <c r="H18" s="12" t="s">
        <v>44</v>
      </c>
      <c r="I18" s="6" t="s">
        <v>45</v>
      </c>
      <c r="J18" s="26" t="s">
        <v>72</v>
      </c>
      <c r="K18" s="6" t="s">
        <v>73</v>
      </c>
      <c r="L18" s="6"/>
      <c r="M18" s="6"/>
      <c r="N18" s="6"/>
    </row>
    <row r="19" ht="16.5" spans="1:14">
      <c r="A19" s="6"/>
      <c r="B19" s="6"/>
      <c r="C19" s="6"/>
      <c r="D19" s="13" t="s">
        <v>121</v>
      </c>
      <c r="L19" s="6"/>
      <c r="M19" s="6"/>
      <c r="N19" s="6"/>
    </row>
  </sheetData>
  <mergeCells count="25">
    <mergeCell ref="A1:B1"/>
    <mergeCell ref="A2:B2"/>
    <mergeCell ref="J14:K14"/>
    <mergeCell ref="D19:K19"/>
    <mergeCell ref="D11:D12"/>
    <mergeCell ref="D14:D16"/>
    <mergeCell ref="E14:E16"/>
    <mergeCell ref="F2:F3"/>
    <mergeCell ref="L1:L3"/>
    <mergeCell ref="M1:M3"/>
    <mergeCell ref="D1:E3"/>
    <mergeCell ref="J1:K3"/>
    <mergeCell ref="G1:I3"/>
    <mergeCell ref="A3:B4"/>
    <mergeCell ref="A5:B7"/>
    <mergeCell ref="M5:N7"/>
    <mergeCell ref="A8:B10"/>
    <mergeCell ref="M8:N10"/>
    <mergeCell ref="A11:B13"/>
    <mergeCell ref="M11:N13"/>
    <mergeCell ref="A14:B16"/>
    <mergeCell ref="M14:N16"/>
    <mergeCell ref="F14:G16"/>
    <mergeCell ref="H14:I16"/>
    <mergeCell ref="J15:K16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君联11楼"/>
  <dimension ref="A1:N20"/>
  <sheetViews>
    <sheetView workbookViewId="0">
      <selection activeCell="A1" sqref="A1:C3"/>
    </sheetView>
  </sheetViews>
  <sheetFormatPr defaultColWidth="14" defaultRowHeight="18" customHeight="1"/>
  <cols>
    <col min="1" max="2" width="9.70833333333333" customWidth="1"/>
    <col min="3" max="3" width="16.7083333333333" customWidth="1"/>
    <col min="4" max="14" width="9.70833333333333" customWidth="1"/>
  </cols>
  <sheetData>
    <row r="1" customHeight="1" spans="1:14">
      <c r="A1" s="4" t="s">
        <v>122</v>
      </c>
      <c r="B1" s="2"/>
      <c r="C1" s="2"/>
      <c r="D1" s="7" t="s">
        <v>123</v>
      </c>
      <c r="E1" s="2"/>
      <c r="F1" s="21" t="s">
        <v>124</v>
      </c>
      <c r="G1" s="2"/>
      <c r="H1" s="2"/>
      <c r="I1" s="2"/>
      <c r="J1" s="7" t="s">
        <v>125</v>
      </c>
      <c r="K1" s="2"/>
      <c r="L1" s="7" t="s">
        <v>126</v>
      </c>
      <c r="M1" s="7" t="s">
        <v>127</v>
      </c>
      <c r="N1" s="6"/>
    </row>
    <row r="2" customHeight="1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6"/>
    </row>
    <row r="3" customHeight="1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6"/>
    </row>
    <row r="4" customHeight="1" spans="1:14">
      <c r="A4" s="4" t="s">
        <v>128</v>
      </c>
      <c r="B4" s="2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customHeight="1" spans="1:14">
      <c r="A5" s="7" t="s">
        <v>129</v>
      </c>
      <c r="B5" s="2"/>
      <c r="C5" s="6"/>
      <c r="D5" s="6"/>
      <c r="E5" s="6"/>
      <c r="F5" s="6"/>
      <c r="G5" s="6"/>
      <c r="H5" s="6"/>
      <c r="I5" s="6"/>
      <c r="J5" s="6"/>
      <c r="K5" s="6"/>
      <c r="L5" s="6"/>
      <c r="M5" s="5" t="s">
        <v>130</v>
      </c>
      <c r="N5" s="2"/>
    </row>
    <row r="6" customHeight="1" spans="1:14">
      <c r="A6" s="2"/>
      <c r="B6" s="2"/>
      <c r="C6" s="6"/>
      <c r="D6" s="6"/>
      <c r="E6" s="6"/>
      <c r="F6" s="6"/>
      <c r="G6" s="6"/>
      <c r="H6" s="6"/>
      <c r="I6" s="6"/>
      <c r="J6" s="6"/>
      <c r="K6" s="6"/>
      <c r="L6" s="6"/>
      <c r="M6" s="2"/>
      <c r="N6" s="2"/>
    </row>
    <row r="7" customHeight="1" spans="1:14">
      <c r="A7" s="2"/>
      <c r="B7" s="2"/>
      <c r="C7" s="6"/>
      <c r="D7" s="6"/>
      <c r="E7" s="6"/>
      <c r="F7" s="6"/>
      <c r="G7" s="6"/>
      <c r="H7" s="6"/>
      <c r="I7" s="6"/>
      <c r="J7" s="6"/>
      <c r="K7" s="6"/>
      <c r="L7" s="6"/>
      <c r="M7" s="2"/>
      <c r="N7" s="2"/>
    </row>
    <row r="8" customHeight="1" spans="1:14">
      <c r="A8" s="7" t="s">
        <v>131</v>
      </c>
      <c r="B8" s="2"/>
      <c r="C8" s="6"/>
      <c r="D8" s="6"/>
      <c r="E8" s="6"/>
      <c r="F8" s="6"/>
      <c r="G8" s="6"/>
      <c r="H8" s="6"/>
      <c r="I8" s="6"/>
      <c r="J8" s="6"/>
      <c r="K8" s="6"/>
      <c r="L8" s="6"/>
      <c r="M8" s="5" t="s">
        <v>132</v>
      </c>
      <c r="N8" s="2"/>
    </row>
    <row r="9" customHeight="1" spans="1:14">
      <c r="A9" s="2"/>
      <c r="B9" s="2"/>
      <c r="C9" s="6"/>
      <c r="D9" s="6"/>
      <c r="E9" s="6"/>
      <c r="F9" s="6"/>
      <c r="G9" s="6"/>
      <c r="H9" s="6"/>
      <c r="I9" s="6"/>
      <c r="J9" s="6"/>
      <c r="K9" s="6"/>
      <c r="L9" s="6"/>
      <c r="M9" s="2"/>
      <c r="N9" s="2"/>
    </row>
    <row r="10" customHeight="1" spans="1:14">
      <c r="A10" s="2"/>
      <c r="B10" s="2"/>
      <c r="C10" s="6"/>
      <c r="D10" s="6"/>
      <c r="E10" s="6"/>
      <c r="F10" s="6"/>
      <c r="G10" s="6"/>
      <c r="H10" s="6"/>
      <c r="I10" s="6"/>
      <c r="J10" s="6"/>
      <c r="K10" s="6"/>
      <c r="L10" s="6"/>
      <c r="M10" s="2"/>
      <c r="N10" s="2"/>
    </row>
    <row r="11" customHeight="1" spans="1:14">
      <c r="A11" s="4" t="s">
        <v>133</v>
      </c>
      <c r="B11" s="2"/>
      <c r="C11" s="6"/>
      <c r="D11" s="7" t="s">
        <v>134</v>
      </c>
      <c r="E11" s="6"/>
      <c r="F11" s="6"/>
      <c r="G11" s="6"/>
      <c r="H11" s="6"/>
      <c r="I11" s="6"/>
      <c r="J11" s="6"/>
      <c r="K11" s="6"/>
      <c r="L11" s="6"/>
      <c r="M11" s="5" t="s">
        <v>135</v>
      </c>
      <c r="N11" s="2"/>
    </row>
    <row r="12" customHeight="1" spans="1:14">
      <c r="A12" s="2"/>
      <c r="B12" s="2"/>
      <c r="C12" s="6"/>
      <c r="D12" s="2"/>
      <c r="E12" s="6"/>
      <c r="F12" s="6"/>
      <c r="G12" s="6"/>
      <c r="H12" s="6"/>
      <c r="I12" s="6"/>
      <c r="J12" s="6"/>
      <c r="K12" s="6"/>
      <c r="L12" s="6"/>
      <c r="M12" s="2"/>
      <c r="N12" s="2"/>
    </row>
    <row r="13" customHeight="1" spans="1:14">
      <c r="A13" s="2"/>
      <c r="B13" s="2"/>
      <c r="C13" s="6"/>
      <c r="D13" s="6"/>
      <c r="E13" s="6"/>
      <c r="F13" s="6"/>
      <c r="G13" s="6"/>
      <c r="H13" s="6"/>
      <c r="I13" s="6"/>
      <c r="J13" s="6"/>
      <c r="K13" s="6"/>
      <c r="L13" s="6"/>
      <c r="M13" s="2"/>
      <c r="N13" s="2"/>
    </row>
    <row r="14" customHeight="1" spans="1:14">
      <c r="A14" s="21" t="s">
        <v>136</v>
      </c>
      <c r="B14" s="2"/>
      <c r="C14" s="31" t="s">
        <v>90</v>
      </c>
      <c r="D14" s="7" t="s">
        <v>137</v>
      </c>
      <c r="E14" s="4" t="s">
        <v>138</v>
      </c>
      <c r="F14" s="4" t="s">
        <v>139</v>
      </c>
      <c r="G14" s="2"/>
      <c r="H14" s="4" t="s">
        <v>140</v>
      </c>
      <c r="I14" s="2"/>
      <c r="J14" s="5" t="s">
        <v>141</v>
      </c>
      <c r="K14" s="2"/>
      <c r="L14" s="6"/>
      <c r="M14" s="4" t="s">
        <v>142</v>
      </c>
      <c r="N14" s="2"/>
    </row>
    <row r="15" customHeight="1" spans="1:14">
      <c r="A15" s="2"/>
      <c r="B15" s="2"/>
      <c r="D15" s="2"/>
      <c r="E15" s="2"/>
      <c r="F15" s="2"/>
      <c r="G15" s="2"/>
      <c r="H15" s="2"/>
      <c r="I15" s="2"/>
      <c r="J15" s="2"/>
      <c r="K15" s="2"/>
      <c r="L15" s="6"/>
      <c r="M15" s="2"/>
      <c r="N15" s="2"/>
    </row>
    <row r="16" customHeight="1" spans="1:14">
      <c r="A16" s="2"/>
      <c r="B16" s="2"/>
      <c r="D16" s="2"/>
      <c r="E16" s="2"/>
      <c r="F16" s="2"/>
      <c r="G16" s="2"/>
      <c r="H16" s="2"/>
      <c r="I16" s="2"/>
      <c r="J16" s="2"/>
      <c r="K16" s="2"/>
      <c r="L16" s="6"/>
      <c r="M16" s="2"/>
      <c r="N16" s="2"/>
    </row>
    <row r="17" customHeight="1" spans="1:1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customHeight="1" spans="1:14">
      <c r="A18" s="6"/>
      <c r="B18" s="6"/>
      <c r="C18" s="6"/>
      <c r="D18" s="9" t="s">
        <v>43</v>
      </c>
      <c r="E18" s="10" t="s">
        <v>18</v>
      </c>
      <c r="F18" s="11" t="s">
        <v>70</v>
      </c>
      <c r="G18" s="10" t="s">
        <v>71</v>
      </c>
      <c r="H18" s="6"/>
      <c r="I18" s="12" t="s">
        <v>44</v>
      </c>
      <c r="J18" s="6" t="s">
        <v>45</v>
      </c>
      <c r="K18" s="6"/>
      <c r="L18" s="6"/>
      <c r="M18" s="6"/>
      <c r="N18" s="6"/>
    </row>
    <row r="19" customHeight="1" spans="1:14">
      <c r="A19" s="6"/>
      <c r="B19" s="6"/>
      <c r="C19" s="6"/>
      <c r="D19" s="13" t="s">
        <v>143</v>
      </c>
      <c r="L19" s="6"/>
      <c r="M19" s="6"/>
      <c r="N19" s="6"/>
    </row>
    <row r="20" customHeight="1" spans="1:14">
      <c r="A20" s="6"/>
      <c r="B20" s="6"/>
      <c r="C20" s="6"/>
      <c r="D20" s="13"/>
      <c r="L20" s="6"/>
      <c r="M20" s="6"/>
      <c r="N20" s="6"/>
    </row>
  </sheetData>
  <mergeCells count="24">
    <mergeCell ref="A4:B4"/>
    <mergeCell ref="D19:K19"/>
    <mergeCell ref="D20:K20"/>
    <mergeCell ref="C14:C16"/>
    <mergeCell ref="D11:D12"/>
    <mergeCell ref="D14:D16"/>
    <mergeCell ref="E14:E16"/>
    <mergeCell ref="L1:L3"/>
    <mergeCell ref="M1:M3"/>
    <mergeCell ref="A1:C3"/>
    <mergeCell ref="D1:E3"/>
    <mergeCell ref="J1:K3"/>
    <mergeCell ref="F1:I3"/>
    <mergeCell ref="A5:B7"/>
    <mergeCell ref="M5:N7"/>
    <mergeCell ref="A8:B10"/>
    <mergeCell ref="M8:N10"/>
    <mergeCell ref="A11:B13"/>
    <mergeCell ref="M11:N13"/>
    <mergeCell ref="A14:B16"/>
    <mergeCell ref="M14:N16"/>
    <mergeCell ref="F14:G16"/>
    <mergeCell ref="H14:I16"/>
    <mergeCell ref="J14:K1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君联12楼"/>
  <dimension ref="A1:N19"/>
  <sheetViews>
    <sheetView workbookViewId="0">
      <selection activeCell="A1" sqref="A1"/>
    </sheetView>
  </sheetViews>
  <sheetFormatPr defaultColWidth="14" defaultRowHeight="18" customHeight="1"/>
  <cols>
    <col min="1" max="3" width="9.70833333333333" customWidth="1"/>
    <col min="4" max="4" width="13.7083333333333" customWidth="1"/>
    <col min="5" max="6" width="9.70833333333333" customWidth="1"/>
    <col min="7" max="7" width="12.7083333333333" customWidth="1"/>
    <col min="8" max="12" width="9.70833333333333" customWidth="1"/>
    <col min="13" max="14" width="14.7083333333333" customWidth="1"/>
  </cols>
  <sheetData>
    <row r="1" customHeight="1" spans="1:14">
      <c r="A1" s="14"/>
      <c r="B1" s="7" t="s">
        <v>144</v>
      </c>
      <c r="C1" s="2"/>
      <c r="D1" s="4" t="s">
        <v>145</v>
      </c>
      <c r="E1" s="2"/>
      <c r="F1" s="21" t="s">
        <v>146</v>
      </c>
      <c r="G1" s="2"/>
      <c r="H1" s="2"/>
      <c r="I1" s="2"/>
      <c r="J1" s="4" t="s">
        <v>147</v>
      </c>
      <c r="K1" s="2"/>
      <c r="L1" s="7" t="s">
        <v>148</v>
      </c>
      <c r="M1" s="7" t="s">
        <v>149</v>
      </c>
      <c r="N1" s="2"/>
    </row>
    <row r="2" customHeight="1" spans="1:14">
      <c r="A2" s="1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Height="1" spans="1:14">
      <c r="A3" s="15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Height="1" spans="1:14">
      <c r="A4" s="8"/>
      <c r="C4" s="6"/>
      <c r="D4" s="6"/>
      <c r="E4" s="6"/>
      <c r="F4" s="6"/>
      <c r="G4" s="6"/>
      <c r="H4" s="6"/>
      <c r="I4" s="6"/>
      <c r="J4" s="6"/>
      <c r="K4" s="6"/>
      <c r="L4" s="6"/>
      <c r="M4" s="3" t="s">
        <v>150</v>
      </c>
      <c r="N4" s="30" t="s">
        <v>151</v>
      </c>
    </row>
    <row r="5" customHeight="1" spans="1:14">
      <c r="A5" s="7" t="s">
        <v>152</v>
      </c>
      <c r="B5" s="2"/>
      <c r="C5" s="6"/>
      <c r="D5" s="6"/>
      <c r="E5" s="6"/>
      <c r="F5" s="6"/>
      <c r="G5" s="6"/>
      <c r="H5" s="6"/>
      <c r="I5" s="6"/>
      <c r="J5" s="6"/>
      <c r="K5" s="6"/>
      <c r="L5" s="6"/>
      <c r="M5" s="5" t="s">
        <v>153</v>
      </c>
      <c r="N5" s="2"/>
    </row>
    <row r="6" customHeight="1" spans="1:14">
      <c r="A6" s="2"/>
      <c r="B6" s="2"/>
      <c r="C6" s="6"/>
      <c r="D6" s="6"/>
      <c r="E6" s="6"/>
      <c r="F6" s="6"/>
      <c r="G6" s="6"/>
      <c r="H6" s="6"/>
      <c r="I6" s="6"/>
      <c r="J6" s="6"/>
      <c r="K6" s="6"/>
      <c r="L6" s="6"/>
      <c r="M6" s="2"/>
      <c r="N6" s="2"/>
    </row>
    <row r="7" customHeight="1" spans="1:14">
      <c r="A7" s="2"/>
      <c r="B7" s="2"/>
      <c r="C7" s="6"/>
      <c r="D7" s="6"/>
      <c r="E7" s="6"/>
      <c r="F7" s="6"/>
      <c r="G7" s="6"/>
      <c r="H7" s="6"/>
      <c r="I7" s="6"/>
      <c r="J7" s="6"/>
      <c r="K7" s="6"/>
      <c r="L7" s="6"/>
      <c r="M7" s="2"/>
      <c r="N7" s="2"/>
    </row>
    <row r="8" customHeight="1" spans="1:14">
      <c r="A8" s="4" t="s">
        <v>154</v>
      </c>
      <c r="B8" s="2"/>
      <c r="C8" s="6"/>
      <c r="D8" s="6"/>
      <c r="E8" s="6"/>
      <c r="F8" s="6"/>
      <c r="G8" s="6"/>
      <c r="H8" s="6"/>
      <c r="I8" s="6"/>
      <c r="J8" s="6"/>
      <c r="K8" s="6"/>
      <c r="L8" s="6"/>
      <c r="M8" s="5" t="s">
        <v>155</v>
      </c>
      <c r="N8" s="2"/>
    </row>
    <row r="9" customHeight="1" spans="1:14">
      <c r="A9" s="2"/>
      <c r="B9" s="2"/>
      <c r="C9" s="6"/>
      <c r="D9" s="6"/>
      <c r="E9" s="6"/>
      <c r="F9" s="6"/>
      <c r="G9" s="6"/>
      <c r="H9" s="6"/>
      <c r="I9" s="6"/>
      <c r="J9" s="6"/>
      <c r="K9" s="6"/>
      <c r="L9" s="6"/>
      <c r="M9" s="2"/>
      <c r="N9" s="2"/>
    </row>
    <row r="10" customHeight="1" spans="1:14">
      <c r="A10" s="2"/>
      <c r="B10" s="2"/>
      <c r="C10" s="6"/>
      <c r="D10" s="6"/>
      <c r="E10" s="6"/>
      <c r="F10" s="6"/>
      <c r="G10" s="6"/>
      <c r="H10" s="6"/>
      <c r="I10" s="6"/>
      <c r="J10" s="6"/>
      <c r="K10" s="6"/>
      <c r="L10" s="6"/>
      <c r="M10" s="2"/>
      <c r="N10" s="2"/>
    </row>
    <row r="11" customHeight="1" spans="1:14">
      <c r="A11" s="4" t="s">
        <v>156</v>
      </c>
      <c r="B11" s="2"/>
      <c r="C11" s="6"/>
      <c r="D11" s="7" t="s">
        <v>157</v>
      </c>
      <c r="E11" s="6"/>
      <c r="F11" s="6"/>
      <c r="G11" s="6"/>
      <c r="H11" s="6"/>
      <c r="I11" s="6"/>
      <c r="J11" s="6"/>
      <c r="K11" s="6"/>
      <c r="L11" s="6"/>
      <c r="M11" s="4" t="s">
        <v>158</v>
      </c>
      <c r="N11" s="2"/>
    </row>
    <row r="12" customHeight="1" spans="1:14">
      <c r="A12" s="2"/>
      <c r="B12" s="2"/>
      <c r="C12" s="6"/>
      <c r="D12" s="2"/>
      <c r="E12" s="6"/>
      <c r="F12" s="6"/>
      <c r="G12" s="6"/>
      <c r="H12" s="6"/>
      <c r="I12" s="6"/>
      <c r="J12" s="6"/>
      <c r="K12" s="6"/>
      <c r="L12" s="6"/>
      <c r="M12" s="2"/>
      <c r="N12" s="2"/>
    </row>
    <row r="13" customHeight="1" spans="1:14">
      <c r="A13" s="2"/>
      <c r="B13" s="2"/>
      <c r="C13" s="6"/>
      <c r="D13" s="6"/>
      <c r="E13" s="6"/>
      <c r="F13" s="6"/>
      <c r="G13" s="6"/>
      <c r="H13" s="6"/>
      <c r="I13" s="6"/>
      <c r="J13" s="6"/>
      <c r="K13" s="6"/>
      <c r="L13" s="6"/>
      <c r="M13" s="2"/>
      <c r="N13" s="2"/>
    </row>
    <row r="14" customHeight="1" spans="1:14">
      <c r="A14" s="4" t="s">
        <v>159</v>
      </c>
      <c r="B14" s="2"/>
      <c r="C14" s="6"/>
      <c r="D14" s="7" t="s">
        <v>160</v>
      </c>
      <c r="E14" s="4" t="s">
        <v>161</v>
      </c>
      <c r="F14" s="4" t="s">
        <v>162</v>
      </c>
      <c r="G14" s="2"/>
      <c r="H14" s="4" t="s">
        <v>163</v>
      </c>
      <c r="I14" s="2"/>
      <c r="J14" s="4" t="s">
        <v>164</v>
      </c>
      <c r="K14" s="2"/>
      <c r="L14" s="6"/>
      <c r="M14" s="4" t="s">
        <v>165</v>
      </c>
      <c r="N14" s="2"/>
    </row>
    <row r="15" customHeight="1" spans="1:14">
      <c r="A15" s="2"/>
      <c r="B15" s="2"/>
      <c r="C15" s="6"/>
      <c r="D15" s="2"/>
      <c r="E15" s="2"/>
      <c r="F15" s="2"/>
      <c r="G15" s="2"/>
      <c r="H15" s="2"/>
      <c r="I15" s="2"/>
      <c r="J15" s="2"/>
      <c r="K15" s="2"/>
      <c r="L15" s="6"/>
      <c r="M15" s="2"/>
      <c r="N15" s="2"/>
    </row>
    <row r="16" customHeight="1" spans="1:14">
      <c r="A16" s="2"/>
      <c r="B16" s="2"/>
      <c r="C16" s="6"/>
      <c r="D16" s="2"/>
      <c r="E16" s="2"/>
      <c r="F16" s="2"/>
      <c r="G16" s="2"/>
      <c r="H16" s="2"/>
      <c r="I16" s="2"/>
      <c r="J16" s="2"/>
      <c r="K16" s="2"/>
      <c r="L16" s="6"/>
      <c r="M16" s="2"/>
      <c r="N16" s="2"/>
    </row>
    <row r="17" customHeight="1" spans="1:1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customHeight="1" spans="1:14">
      <c r="A18" s="6"/>
      <c r="B18" s="6"/>
      <c r="C18" s="6"/>
      <c r="D18" s="9" t="s">
        <v>43</v>
      </c>
      <c r="E18" s="10" t="s">
        <v>18</v>
      </c>
      <c r="F18" s="11" t="s">
        <v>70</v>
      </c>
      <c r="G18" s="10" t="s">
        <v>71</v>
      </c>
      <c r="H18" s="12" t="s">
        <v>44</v>
      </c>
      <c r="I18" s="6" t="s">
        <v>45</v>
      </c>
      <c r="J18" s="6"/>
      <c r="K18" s="6"/>
      <c r="L18" s="6"/>
      <c r="M18" s="6"/>
      <c r="N18" s="6"/>
    </row>
    <row r="19" customHeight="1" spans="1:14">
      <c r="A19" s="6"/>
      <c r="B19" s="6"/>
      <c r="C19" s="6"/>
      <c r="D19" s="13" t="s">
        <v>166</v>
      </c>
      <c r="L19" s="6"/>
      <c r="M19" s="6"/>
      <c r="N19" s="6"/>
    </row>
  </sheetData>
  <mergeCells count="22">
    <mergeCell ref="A4:B4"/>
    <mergeCell ref="D19:K19"/>
    <mergeCell ref="D11:D12"/>
    <mergeCell ref="D14:D16"/>
    <mergeCell ref="E14:E16"/>
    <mergeCell ref="L1:L3"/>
    <mergeCell ref="B1:C3"/>
    <mergeCell ref="D1:E3"/>
    <mergeCell ref="J1:K3"/>
    <mergeCell ref="F1:I3"/>
    <mergeCell ref="M1:N3"/>
    <mergeCell ref="A5:B7"/>
    <mergeCell ref="M5:N7"/>
    <mergeCell ref="A8:B10"/>
    <mergeCell ref="M8:N10"/>
    <mergeCell ref="A11:B13"/>
    <mergeCell ref="M11:N13"/>
    <mergeCell ref="A14:B16"/>
    <mergeCell ref="M14:N16"/>
    <mergeCell ref="F14:G16"/>
    <mergeCell ref="H14:I16"/>
    <mergeCell ref="J14:K1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君联13楼"/>
  <dimension ref="A1:N19"/>
  <sheetViews>
    <sheetView workbookViewId="0">
      <selection activeCell="A1" sqref="A1:C3"/>
    </sheetView>
  </sheetViews>
  <sheetFormatPr defaultColWidth="14" defaultRowHeight="18" customHeight="1"/>
  <cols>
    <col min="1" max="3" width="9.70833333333333" customWidth="1"/>
    <col min="4" max="4" width="11.7083333333333" customWidth="1"/>
    <col min="5" max="6" width="9.70833333333333" customWidth="1"/>
    <col min="7" max="7" width="13.7083333333333" customWidth="1"/>
    <col min="8" max="14" width="9.70833333333333" customWidth="1"/>
  </cols>
  <sheetData>
    <row r="1" customHeight="1" spans="1:14">
      <c r="A1" s="7" t="s">
        <v>167</v>
      </c>
      <c r="B1" s="2"/>
      <c r="C1" s="2"/>
      <c r="D1" s="7" t="s">
        <v>168</v>
      </c>
      <c r="E1" s="2"/>
      <c r="F1" s="5" t="s">
        <v>169</v>
      </c>
      <c r="G1" s="2"/>
      <c r="H1" s="2"/>
      <c r="I1" s="2"/>
      <c r="J1" s="4" t="s">
        <v>170</v>
      </c>
      <c r="K1" s="2"/>
      <c r="L1" s="4" t="s">
        <v>171</v>
      </c>
      <c r="M1" s="7" t="s">
        <v>172</v>
      </c>
      <c r="N1" s="6"/>
    </row>
    <row r="2" customHeight="1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6"/>
    </row>
    <row r="3" customHeight="1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6"/>
    </row>
    <row r="4" customHeight="1" spans="1:14">
      <c r="A4" s="4" t="s">
        <v>173</v>
      </c>
      <c r="B4" s="2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customHeight="1" spans="1:14">
      <c r="A5" s="4" t="s">
        <v>174</v>
      </c>
      <c r="B5" s="2"/>
      <c r="C5" s="6"/>
      <c r="D5" s="6"/>
      <c r="E5" s="6"/>
      <c r="F5" s="6"/>
      <c r="G5" s="6"/>
      <c r="H5" s="6"/>
      <c r="I5" s="6"/>
      <c r="J5" s="6"/>
      <c r="K5" s="6"/>
      <c r="L5" s="6"/>
      <c r="M5" s="5" t="s">
        <v>175</v>
      </c>
      <c r="N5" s="2"/>
    </row>
    <row r="6" customHeight="1" spans="1:14">
      <c r="A6" s="2"/>
      <c r="B6" s="2"/>
      <c r="C6" s="6"/>
      <c r="D6" s="6"/>
      <c r="E6" s="6"/>
      <c r="F6" s="6"/>
      <c r="G6" s="6"/>
      <c r="H6" s="6"/>
      <c r="I6" s="6"/>
      <c r="J6" s="6"/>
      <c r="K6" s="6"/>
      <c r="L6" s="6"/>
      <c r="M6" s="2"/>
      <c r="N6" s="2"/>
    </row>
    <row r="7" customHeight="1" spans="1:14">
      <c r="A7" s="2"/>
      <c r="B7" s="2"/>
      <c r="C7" s="6"/>
      <c r="D7" s="6"/>
      <c r="E7" s="6"/>
      <c r="F7" s="6"/>
      <c r="G7" s="6"/>
      <c r="H7" s="6"/>
      <c r="I7" s="6"/>
      <c r="J7" s="6"/>
      <c r="K7" s="6"/>
      <c r="L7" s="6"/>
      <c r="M7" s="2"/>
      <c r="N7" s="2"/>
    </row>
    <row r="8" customHeight="1" spans="1:14">
      <c r="A8" s="4" t="s">
        <v>176</v>
      </c>
      <c r="B8" s="2"/>
      <c r="C8" s="6"/>
      <c r="D8" s="6"/>
      <c r="E8" s="6"/>
      <c r="F8" s="6"/>
      <c r="G8" s="6"/>
      <c r="H8" s="6"/>
      <c r="I8" s="6"/>
      <c r="J8" s="6"/>
      <c r="K8" s="6"/>
      <c r="L8" s="6"/>
      <c r="M8" s="4" t="s">
        <v>177</v>
      </c>
      <c r="N8" s="2"/>
    </row>
    <row r="9" customHeight="1" spans="1:14">
      <c r="A9" s="2"/>
      <c r="B9" s="2"/>
      <c r="C9" s="6"/>
      <c r="D9" s="6"/>
      <c r="E9" s="6"/>
      <c r="F9" s="6"/>
      <c r="G9" s="6"/>
      <c r="H9" s="6"/>
      <c r="I9" s="6"/>
      <c r="J9" s="6"/>
      <c r="K9" s="6"/>
      <c r="L9" s="6"/>
      <c r="M9" s="2"/>
      <c r="N9" s="2"/>
    </row>
    <row r="10" customHeight="1" spans="1:14">
      <c r="A10" s="2"/>
      <c r="B10" s="2"/>
      <c r="C10" s="6"/>
      <c r="D10" s="6"/>
      <c r="E10" s="6"/>
      <c r="F10" s="6"/>
      <c r="G10" s="6"/>
      <c r="H10" s="6"/>
      <c r="I10" s="6"/>
      <c r="J10" s="6"/>
      <c r="K10" s="6"/>
      <c r="L10" s="6"/>
      <c r="M10" s="2"/>
      <c r="N10" s="2"/>
    </row>
    <row r="11" customHeight="1" spans="1:14">
      <c r="A11" s="7" t="s">
        <v>178</v>
      </c>
      <c r="B11" s="2"/>
      <c r="C11" s="6"/>
      <c r="D11" s="7" t="s">
        <v>179</v>
      </c>
      <c r="E11" s="6"/>
      <c r="F11" s="6"/>
      <c r="G11" s="6"/>
      <c r="H11" s="6"/>
      <c r="I11" s="6"/>
      <c r="J11" s="6"/>
      <c r="K11" s="6"/>
      <c r="L11" s="6"/>
      <c r="M11" s="4" t="s">
        <v>180</v>
      </c>
      <c r="N11" s="2"/>
    </row>
    <row r="12" customHeight="1" spans="1:14">
      <c r="A12" s="2"/>
      <c r="B12" s="2"/>
      <c r="C12" s="6"/>
      <c r="D12" s="2"/>
      <c r="E12" s="6"/>
      <c r="F12" s="6"/>
      <c r="G12" s="6"/>
      <c r="H12" s="6"/>
      <c r="I12" s="6"/>
      <c r="J12" s="6"/>
      <c r="K12" s="6"/>
      <c r="L12" s="6"/>
      <c r="M12" s="2"/>
      <c r="N12" s="2"/>
    </row>
    <row r="13" customHeight="1" spans="1:14">
      <c r="A13" s="2"/>
      <c r="B13" s="2"/>
      <c r="C13" s="6"/>
      <c r="D13" s="6"/>
      <c r="E13" s="6"/>
      <c r="F13" s="6"/>
      <c r="G13" s="6"/>
      <c r="H13" s="6"/>
      <c r="I13" s="6"/>
      <c r="J13" s="6"/>
      <c r="K13" s="6"/>
      <c r="L13" s="6"/>
      <c r="M13" s="2"/>
      <c r="N13" s="2"/>
    </row>
    <row r="14" customHeight="1" spans="1:14">
      <c r="A14" s="5" t="s">
        <v>181</v>
      </c>
      <c r="B14" s="2"/>
      <c r="C14" s="6"/>
      <c r="D14" s="7" t="s">
        <v>182</v>
      </c>
      <c r="E14" s="4" t="s">
        <v>183</v>
      </c>
      <c r="F14" s="4" t="s">
        <v>184</v>
      </c>
      <c r="G14" s="2"/>
      <c r="H14" s="4" t="s">
        <v>185</v>
      </c>
      <c r="I14" s="2"/>
      <c r="J14" s="5" t="s">
        <v>186</v>
      </c>
      <c r="K14" s="2"/>
      <c r="L14" s="6"/>
      <c r="M14" s="4" t="s">
        <v>187</v>
      </c>
      <c r="N14" s="2"/>
    </row>
    <row r="15" customHeight="1" spans="1:14">
      <c r="A15" s="2"/>
      <c r="B15" s="2"/>
      <c r="C15" s="6"/>
      <c r="D15" s="2"/>
      <c r="E15" s="2"/>
      <c r="F15" s="2"/>
      <c r="G15" s="2"/>
      <c r="H15" s="2"/>
      <c r="I15" s="2"/>
      <c r="J15" s="2"/>
      <c r="K15" s="2"/>
      <c r="L15" s="6"/>
      <c r="M15" s="2"/>
      <c r="N15" s="2"/>
    </row>
    <row r="16" customHeight="1" spans="1:14">
      <c r="A16" s="2"/>
      <c r="B16" s="2"/>
      <c r="C16" s="6"/>
      <c r="D16" s="2"/>
      <c r="E16" s="2"/>
      <c r="F16" s="2"/>
      <c r="G16" s="2"/>
      <c r="H16" s="2"/>
      <c r="I16" s="2"/>
      <c r="J16" s="2"/>
      <c r="K16" s="2"/>
      <c r="L16" s="6"/>
      <c r="M16" s="2"/>
      <c r="N16" s="2"/>
    </row>
    <row r="17" customHeight="1" spans="1:1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customHeight="1" spans="1:14">
      <c r="A18" s="6"/>
      <c r="B18" s="6"/>
      <c r="C18" s="6"/>
      <c r="D18" s="9" t="s">
        <v>43</v>
      </c>
      <c r="E18" s="10" t="s">
        <v>18</v>
      </c>
      <c r="F18" s="11" t="s">
        <v>70</v>
      </c>
      <c r="G18" s="10" t="s">
        <v>71</v>
      </c>
      <c r="H18" s="6"/>
      <c r="I18" s="6"/>
      <c r="J18" s="6"/>
      <c r="K18" s="6"/>
      <c r="L18" s="6"/>
      <c r="M18" s="6"/>
      <c r="N18" s="6"/>
    </row>
    <row r="19" customHeight="1" spans="1:14">
      <c r="A19" s="6"/>
      <c r="B19" s="6"/>
      <c r="C19" s="6"/>
      <c r="D19" s="13" t="s">
        <v>188</v>
      </c>
      <c r="L19" s="6"/>
      <c r="M19" s="6"/>
      <c r="N19" s="6"/>
    </row>
  </sheetData>
  <mergeCells count="22">
    <mergeCell ref="A4:B4"/>
    <mergeCell ref="D19:K19"/>
    <mergeCell ref="D11:D12"/>
    <mergeCell ref="D14:D16"/>
    <mergeCell ref="E14:E16"/>
    <mergeCell ref="L1:L3"/>
    <mergeCell ref="M1:M3"/>
    <mergeCell ref="A1:C3"/>
    <mergeCell ref="D1:E3"/>
    <mergeCell ref="J1:K3"/>
    <mergeCell ref="F1:I3"/>
    <mergeCell ref="A5:B7"/>
    <mergeCell ref="M5:N7"/>
    <mergeCell ref="A8:B10"/>
    <mergeCell ref="M8:N10"/>
    <mergeCell ref="A11:B13"/>
    <mergeCell ref="M11:N13"/>
    <mergeCell ref="A14:B16"/>
    <mergeCell ref="M14:N16"/>
    <mergeCell ref="F14:G16"/>
    <mergeCell ref="H14:I16"/>
    <mergeCell ref="J14:K16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君联14楼"/>
  <dimension ref="A1:N19"/>
  <sheetViews>
    <sheetView workbookViewId="0">
      <selection activeCell="A1" sqref="A1"/>
    </sheetView>
  </sheetViews>
  <sheetFormatPr defaultColWidth="14" defaultRowHeight="18" customHeight="1"/>
  <cols>
    <col min="1" max="3" width="9.70833333333333" customWidth="1"/>
    <col min="4" max="4" width="13.7083333333333" customWidth="1"/>
    <col min="5" max="6" width="9.70833333333333" customWidth="1"/>
    <col min="7" max="7" width="12.7083333333333" customWidth="1"/>
    <col min="8" max="10" width="9.70833333333333" customWidth="1"/>
    <col min="11" max="11" width="14.7083333333333" customWidth="1"/>
    <col min="12" max="13" width="9.70833333333333" customWidth="1"/>
    <col min="14" max="14" width="14.7083333333333" customWidth="1"/>
  </cols>
  <sheetData>
    <row r="1" customHeight="1" spans="1:14">
      <c r="A1" s="14"/>
      <c r="B1" s="4">
        <v>1406</v>
      </c>
      <c r="C1" s="2"/>
      <c r="D1" s="2"/>
      <c r="E1" s="2"/>
      <c r="F1" s="2"/>
      <c r="G1" s="2"/>
      <c r="H1" s="2"/>
      <c r="I1" s="2"/>
      <c r="J1" s="2"/>
      <c r="K1" s="2"/>
      <c r="L1" s="27" t="s">
        <v>189</v>
      </c>
      <c r="M1" s="28" t="s">
        <v>190</v>
      </c>
      <c r="N1" s="29"/>
    </row>
    <row r="2" customHeight="1" spans="1:14">
      <c r="A2" s="15"/>
      <c r="B2" s="2"/>
      <c r="C2" s="2"/>
      <c r="D2" s="2"/>
      <c r="E2" s="2"/>
      <c r="F2" s="2"/>
      <c r="G2" s="2"/>
      <c r="H2" s="2"/>
      <c r="I2" s="2"/>
      <c r="J2" s="2"/>
      <c r="K2" s="2"/>
      <c r="L2" s="23"/>
      <c r="M2" s="29"/>
      <c r="N2" s="29"/>
    </row>
    <row r="3" customHeight="1" spans="1:14">
      <c r="A3" s="15"/>
      <c r="B3" s="2"/>
      <c r="C3" s="2"/>
      <c r="D3" s="2"/>
      <c r="E3" s="2"/>
      <c r="F3" s="2"/>
      <c r="G3" s="2"/>
      <c r="H3" s="2"/>
      <c r="I3" s="2"/>
      <c r="J3" s="2"/>
      <c r="K3" s="2"/>
      <c r="L3" s="23"/>
      <c r="M3" s="29"/>
      <c r="N3" s="29"/>
    </row>
    <row r="4" customHeight="1" spans="1:14">
      <c r="A4" s="8"/>
      <c r="C4" s="6"/>
      <c r="D4" s="6"/>
      <c r="E4" s="6"/>
      <c r="F4" s="6"/>
      <c r="G4" s="6"/>
      <c r="H4" s="6"/>
      <c r="I4" s="6"/>
      <c r="J4" s="6"/>
      <c r="K4" s="6"/>
      <c r="L4" s="6"/>
      <c r="M4" s="29"/>
      <c r="N4" s="29"/>
    </row>
    <row r="5" customHeight="1" spans="1:14">
      <c r="A5" s="4">
        <v>1407</v>
      </c>
      <c r="B5" s="2"/>
      <c r="C5" s="6"/>
      <c r="D5" s="6"/>
      <c r="E5" s="6"/>
      <c r="F5" s="6"/>
      <c r="G5" s="6"/>
      <c r="H5" s="6"/>
      <c r="I5" s="6"/>
      <c r="J5" s="6"/>
      <c r="K5" s="6"/>
      <c r="L5" s="6"/>
      <c r="M5" s="5">
        <v>1404</v>
      </c>
      <c r="N5" s="2"/>
    </row>
    <row r="6" customHeight="1" spans="1:14">
      <c r="A6" s="2"/>
      <c r="B6" s="2"/>
      <c r="C6" s="6"/>
      <c r="D6" s="6"/>
      <c r="E6" s="6"/>
      <c r="F6" s="6"/>
      <c r="G6" s="6"/>
      <c r="H6" s="6"/>
      <c r="I6" s="6"/>
      <c r="J6" s="6"/>
      <c r="K6" s="6"/>
      <c r="L6" s="6"/>
      <c r="M6" s="2"/>
      <c r="N6" s="2"/>
    </row>
    <row r="7" customHeight="1" spans="1:14">
      <c r="A7" s="2"/>
      <c r="B7" s="2"/>
      <c r="C7" s="6"/>
      <c r="D7" s="6"/>
      <c r="E7" s="6"/>
      <c r="F7" s="6"/>
      <c r="G7" s="6"/>
      <c r="H7" s="6"/>
      <c r="I7" s="6"/>
      <c r="J7" s="6"/>
      <c r="K7" s="6"/>
      <c r="L7" s="6"/>
      <c r="M7" s="2"/>
      <c r="N7" s="2"/>
    </row>
    <row r="8" customHeight="1" spans="1:14">
      <c r="A8" s="2"/>
      <c r="B8" s="2"/>
      <c r="C8" s="6"/>
      <c r="D8" s="6"/>
      <c r="E8" s="6"/>
      <c r="F8" s="6"/>
      <c r="G8" s="6"/>
      <c r="H8" s="6"/>
      <c r="I8" s="6"/>
      <c r="J8" s="6"/>
      <c r="K8" s="6"/>
      <c r="L8" s="6"/>
      <c r="M8" s="21" t="s">
        <v>191</v>
      </c>
      <c r="N8" s="2"/>
    </row>
    <row r="9" customHeight="1" spans="1:14">
      <c r="A9" s="2"/>
      <c r="B9" s="2"/>
      <c r="C9" s="6"/>
      <c r="D9" s="6"/>
      <c r="E9" s="6"/>
      <c r="F9" s="6"/>
      <c r="G9" s="6"/>
      <c r="H9" s="6"/>
      <c r="I9" s="6"/>
      <c r="J9" s="6"/>
      <c r="K9" s="6"/>
      <c r="L9" s="6"/>
      <c r="M9" s="2"/>
      <c r="N9" s="2"/>
    </row>
    <row r="10" customHeight="1" spans="1:14">
      <c r="A10" s="2"/>
      <c r="B10" s="2"/>
      <c r="C10" s="6"/>
      <c r="D10" s="6"/>
      <c r="E10" s="6"/>
      <c r="F10" s="6"/>
      <c r="G10" s="6"/>
      <c r="H10" s="6"/>
      <c r="I10" s="6"/>
      <c r="J10" s="6"/>
      <c r="K10" s="6"/>
      <c r="L10" s="6"/>
      <c r="M10" s="2"/>
      <c r="N10" s="2"/>
    </row>
    <row r="11" customHeight="1" spans="1:14">
      <c r="A11" s="4">
        <v>1408</v>
      </c>
      <c r="B11" s="2"/>
      <c r="C11" s="6"/>
      <c r="D11" s="4" t="s">
        <v>192</v>
      </c>
      <c r="E11" s="6"/>
      <c r="F11" s="6"/>
      <c r="G11" s="6"/>
      <c r="H11" s="6"/>
      <c r="I11" s="6"/>
      <c r="J11" s="6"/>
      <c r="K11" s="6"/>
      <c r="L11" s="6"/>
      <c r="M11" s="7" t="s">
        <v>193</v>
      </c>
      <c r="N11" s="2"/>
    </row>
    <row r="12" customHeight="1" spans="1:14">
      <c r="A12" s="2"/>
      <c r="B12" s="2"/>
      <c r="C12" s="6"/>
      <c r="D12" s="2"/>
      <c r="E12" s="6"/>
      <c r="F12" s="6"/>
      <c r="G12" s="6"/>
      <c r="H12" s="6"/>
      <c r="I12" s="6"/>
      <c r="J12" s="6"/>
      <c r="K12" s="6"/>
      <c r="L12" s="6"/>
      <c r="M12" s="2"/>
      <c r="N12" s="2"/>
    </row>
    <row r="13" customHeight="1" spans="1:14">
      <c r="A13" s="2"/>
      <c r="B13" s="2"/>
      <c r="C13" s="6"/>
      <c r="D13" s="6"/>
      <c r="E13" s="6"/>
      <c r="F13" s="6"/>
      <c r="G13" s="6"/>
      <c r="H13" s="6"/>
      <c r="I13" s="6"/>
      <c r="J13" s="6"/>
      <c r="K13" s="6"/>
      <c r="L13" s="6"/>
      <c r="M13" s="2"/>
      <c r="N13" s="2"/>
    </row>
    <row r="14" customHeight="1" spans="1:14">
      <c r="A14" s="4">
        <v>1409</v>
      </c>
      <c r="B14" s="2"/>
      <c r="C14" s="6"/>
      <c r="D14" s="4">
        <v>1410</v>
      </c>
      <c r="E14" s="4">
        <v>1411</v>
      </c>
      <c r="F14" s="4">
        <v>1412</v>
      </c>
      <c r="G14" s="2"/>
      <c r="H14" s="4">
        <v>1413</v>
      </c>
      <c r="I14" s="2"/>
      <c r="J14" s="4">
        <v>1414</v>
      </c>
      <c r="K14" s="2"/>
      <c r="L14" s="6"/>
      <c r="M14" s="7" t="s">
        <v>194</v>
      </c>
      <c r="N14" s="2"/>
    </row>
    <row r="15" customHeight="1" spans="1:14">
      <c r="A15" s="2"/>
      <c r="B15" s="2"/>
      <c r="C15" s="6"/>
      <c r="D15" s="2"/>
      <c r="E15" s="2"/>
      <c r="F15" s="2"/>
      <c r="G15" s="2"/>
      <c r="H15" s="2"/>
      <c r="I15" s="2"/>
      <c r="J15" s="2"/>
      <c r="K15" s="2"/>
      <c r="L15" s="6"/>
      <c r="M15" s="2"/>
      <c r="N15" s="2"/>
    </row>
    <row r="16" customHeight="1" spans="1:14">
      <c r="A16" s="2"/>
      <c r="B16" s="2"/>
      <c r="C16" s="6"/>
      <c r="D16" s="2"/>
      <c r="E16" s="2"/>
      <c r="F16" s="2"/>
      <c r="G16" s="2"/>
      <c r="H16" s="2"/>
      <c r="I16" s="2"/>
      <c r="J16" s="2"/>
      <c r="K16" s="2"/>
      <c r="L16" s="6"/>
      <c r="M16" s="2"/>
      <c r="N16" s="2"/>
    </row>
    <row r="17" customHeight="1" spans="1:1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customHeight="1" spans="1:14">
      <c r="A18" s="6"/>
      <c r="B18" s="6"/>
      <c r="C18" s="6"/>
      <c r="D18" s="9" t="s">
        <v>43</v>
      </c>
      <c r="E18" s="10" t="s">
        <v>18</v>
      </c>
      <c r="F18" s="11" t="s">
        <v>70</v>
      </c>
      <c r="G18" s="10" t="s">
        <v>71</v>
      </c>
      <c r="H18" s="12" t="s">
        <v>44</v>
      </c>
      <c r="I18" s="6" t="s">
        <v>45</v>
      </c>
      <c r="J18" s="26" t="s">
        <v>72</v>
      </c>
      <c r="K18" s="6" t="s">
        <v>73</v>
      </c>
      <c r="L18" s="6"/>
      <c r="M18" s="6"/>
      <c r="N18" s="6"/>
    </row>
    <row r="19" customHeight="1" spans="1:14">
      <c r="A19" s="6"/>
      <c r="B19" s="6"/>
      <c r="C19" s="6"/>
      <c r="D19" s="13" t="s">
        <v>195</v>
      </c>
      <c r="L19" s="6"/>
      <c r="M19" s="6"/>
      <c r="N19" s="6"/>
    </row>
  </sheetData>
  <mergeCells count="18">
    <mergeCell ref="A4:B4"/>
    <mergeCell ref="D19:K19"/>
    <mergeCell ref="D11:D12"/>
    <mergeCell ref="D14:D16"/>
    <mergeCell ref="E14:E16"/>
    <mergeCell ref="L1:L3"/>
    <mergeCell ref="B1:K3"/>
    <mergeCell ref="M1:N4"/>
    <mergeCell ref="A5:B10"/>
    <mergeCell ref="M5:N7"/>
    <mergeCell ref="M8:N10"/>
    <mergeCell ref="A11:B13"/>
    <mergeCell ref="M11:N13"/>
    <mergeCell ref="A14:B16"/>
    <mergeCell ref="M14:N16"/>
    <mergeCell ref="F14:G16"/>
    <mergeCell ref="H14:I16"/>
    <mergeCell ref="J14:K16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君联15楼"/>
  <dimension ref="A1:N20"/>
  <sheetViews>
    <sheetView workbookViewId="0">
      <selection activeCell="A1" sqref="A1:C3"/>
    </sheetView>
  </sheetViews>
  <sheetFormatPr defaultColWidth="14" defaultRowHeight="18" customHeight="1"/>
  <cols>
    <col min="1" max="3" width="9.70833333333333" customWidth="1"/>
    <col min="4" max="4" width="11.7083333333333" customWidth="1"/>
    <col min="5" max="6" width="9.70833333333333" customWidth="1"/>
    <col min="7" max="7" width="13.7083333333333" customWidth="1"/>
    <col min="8" max="14" width="9.70833333333333" customWidth="1"/>
  </cols>
  <sheetData>
    <row r="1" customHeight="1" spans="1:14">
      <c r="A1" s="7" t="s">
        <v>196</v>
      </c>
      <c r="B1" s="2"/>
      <c r="C1" s="2"/>
      <c r="D1" s="7" t="s">
        <v>197</v>
      </c>
      <c r="E1" s="2"/>
      <c r="F1" s="21" t="s">
        <v>198</v>
      </c>
      <c r="G1" s="2"/>
      <c r="H1" s="2"/>
      <c r="I1" s="2"/>
      <c r="J1" s="7" t="s">
        <v>199</v>
      </c>
      <c r="K1" s="2"/>
      <c r="L1" s="4" t="s">
        <v>189</v>
      </c>
      <c r="M1" s="7" t="s">
        <v>200</v>
      </c>
      <c r="N1" s="6"/>
    </row>
    <row r="2" customHeight="1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6"/>
    </row>
    <row r="3" customHeight="1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6"/>
    </row>
    <row r="4" customHeight="1" spans="1:14">
      <c r="A4" s="7" t="s">
        <v>201</v>
      </c>
      <c r="B4" s="2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customHeight="1" spans="1:14">
      <c r="A5" s="1" t="s">
        <v>202</v>
      </c>
      <c r="B5" s="2"/>
      <c r="C5" s="6"/>
      <c r="D5" s="6"/>
      <c r="E5" s="6"/>
      <c r="F5" s="6"/>
      <c r="G5" s="6"/>
      <c r="H5" s="6"/>
      <c r="I5" s="6"/>
      <c r="J5" s="6"/>
      <c r="K5" s="6"/>
      <c r="L5" s="6"/>
      <c r="M5" s="21" t="s">
        <v>203</v>
      </c>
      <c r="N5" s="2"/>
    </row>
    <row r="6" customHeight="1" spans="1:14">
      <c r="A6" s="2"/>
      <c r="B6" s="2"/>
      <c r="C6" s="6"/>
      <c r="D6" s="6"/>
      <c r="E6" s="6"/>
      <c r="F6" s="6"/>
      <c r="G6" s="6"/>
      <c r="H6" s="6"/>
      <c r="I6" s="6"/>
      <c r="J6" s="6"/>
      <c r="K6" s="6"/>
      <c r="L6" s="6"/>
      <c r="M6" s="2"/>
      <c r="N6" s="2"/>
    </row>
    <row r="7" customHeight="1" spans="1:14">
      <c r="A7" s="2"/>
      <c r="B7" s="2"/>
      <c r="C7" s="6"/>
      <c r="D7" s="6"/>
      <c r="E7" s="6"/>
      <c r="F7" s="6"/>
      <c r="G7" s="6"/>
      <c r="H7" s="6"/>
      <c r="I7" s="6"/>
      <c r="J7" s="6"/>
      <c r="K7" s="6"/>
      <c r="L7" s="6"/>
      <c r="M7" s="2"/>
      <c r="N7" s="2"/>
    </row>
    <row r="8" customHeight="1" spans="1:14">
      <c r="A8" s="4" t="s">
        <v>204</v>
      </c>
      <c r="B8" s="2"/>
      <c r="C8" s="6"/>
      <c r="D8" s="6"/>
      <c r="E8" s="6"/>
      <c r="F8" s="6"/>
      <c r="G8" s="6"/>
      <c r="H8" s="6"/>
      <c r="I8" s="6"/>
      <c r="J8" s="6"/>
      <c r="K8" s="6"/>
      <c r="L8" s="6"/>
      <c r="M8" s="4" t="s">
        <v>205</v>
      </c>
      <c r="N8" s="2"/>
    </row>
    <row r="9" customHeight="1" spans="1:14">
      <c r="A9" s="2"/>
      <c r="B9" s="2"/>
      <c r="C9" s="6"/>
      <c r="D9" s="6"/>
      <c r="E9" s="6"/>
      <c r="F9" s="6"/>
      <c r="G9" s="6"/>
      <c r="H9" s="6"/>
      <c r="I9" s="6"/>
      <c r="J9" s="6"/>
      <c r="K9" s="6"/>
      <c r="L9" s="6"/>
      <c r="M9" s="2"/>
      <c r="N9" s="2"/>
    </row>
    <row r="10" customHeight="1" spans="1:14">
      <c r="A10" s="2"/>
      <c r="B10" s="2"/>
      <c r="C10" s="6"/>
      <c r="D10" s="6"/>
      <c r="E10" s="6"/>
      <c r="F10" s="6"/>
      <c r="G10" s="6"/>
      <c r="H10" s="6"/>
      <c r="I10" s="6"/>
      <c r="J10" s="6"/>
      <c r="K10" s="6"/>
      <c r="L10" s="6"/>
      <c r="M10" s="2"/>
      <c r="N10" s="2"/>
    </row>
    <row r="11" customHeight="1" spans="1:14">
      <c r="A11" s="4" t="s">
        <v>206</v>
      </c>
      <c r="B11" s="2"/>
      <c r="C11" s="6"/>
      <c r="D11" s="4" t="s">
        <v>207</v>
      </c>
      <c r="E11" s="6"/>
      <c r="F11" s="6"/>
      <c r="G11" s="6"/>
      <c r="H11" s="6"/>
      <c r="I11" s="6"/>
      <c r="J11" s="6"/>
      <c r="K11" s="6"/>
      <c r="L11" s="6"/>
      <c r="M11" s="5" t="s">
        <v>208</v>
      </c>
      <c r="N11" s="2"/>
    </row>
    <row r="12" customHeight="1" spans="1:14">
      <c r="A12" s="2"/>
      <c r="B12" s="2"/>
      <c r="C12" s="6"/>
      <c r="D12" s="2"/>
      <c r="E12" s="6"/>
      <c r="F12" s="6"/>
      <c r="G12" s="6"/>
      <c r="H12" s="6"/>
      <c r="I12" s="6"/>
      <c r="J12" s="6"/>
      <c r="K12" s="6"/>
      <c r="L12" s="6"/>
      <c r="M12" s="2"/>
      <c r="N12" s="2"/>
    </row>
    <row r="13" customHeight="1" spans="1:14">
      <c r="A13" s="2"/>
      <c r="B13" s="2"/>
      <c r="C13" s="6"/>
      <c r="D13" s="6"/>
      <c r="E13" s="6"/>
      <c r="F13" s="6"/>
      <c r="G13" s="6"/>
      <c r="H13" s="6"/>
      <c r="I13" s="6"/>
      <c r="J13" s="6"/>
      <c r="K13" s="6"/>
      <c r="L13" s="6"/>
      <c r="M13" s="2"/>
      <c r="N13" s="2"/>
    </row>
    <row r="14" customHeight="1" spans="1:14">
      <c r="A14" s="5" t="s">
        <v>209</v>
      </c>
      <c r="B14" s="2"/>
      <c r="C14" s="6"/>
      <c r="D14" s="4" t="s">
        <v>210</v>
      </c>
      <c r="E14" s="4" t="s">
        <v>211</v>
      </c>
      <c r="F14" s="4" t="s">
        <v>212</v>
      </c>
      <c r="G14" s="2"/>
      <c r="H14" s="4" t="s">
        <v>213</v>
      </c>
      <c r="I14" s="2"/>
      <c r="J14" s="5" t="s">
        <v>214</v>
      </c>
      <c r="K14" s="2"/>
      <c r="L14" s="6"/>
      <c r="M14" s="4" t="s">
        <v>215</v>
      </c>
      <c r="N14" s="2"/>
    </row>
    <row r="15" customHeight="1" spans="1:14">
      <c r="A15" s="2"/>
      <c r="B15" s="2"/>
      <c r="C15" s="6"/>
      <c r="D15" s="2"/>
      <c r="E15" s="2"/>
      <c r="F15" s="2"/>
      <c r="G15" s="2"/>
      <c r="H15" s="2"/>
      <c r="I15" s="2"/>
      <c r="J15" s="2"/>
      <c r="K15" s="2"/>
      <c r="L15" s="6"/>
      <c r="M15" s="2"/>
      <c r="N15" s="2"/>
    </row>
    <row r="16" customHeight="1" spans="1:14">
      <c r="A16" s="2"/>
      <c r="B16" s="2"/>
      <c r="C16" s="6"/>
      <c r="D16" s="2"/>
      <c r="E16" s="2"/>
      <c r="F16" s="2"/>
      <c r="G16" s="2"/>
      <c r="H16" s="2"/>
      <c r="I16" s="2"/>
      <c r="J16" s="2"/>
      <c r="K16" s="2"/>
      <c r="L16" s="6"/>
      <c r="M16" s="2"/>
      <c r="N16" s="2"/>
    </row>
    <row r="17" customHeight="1" spans="1:1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customHeight="1" spans="1:14">
      <c r="A18" s="6"/>
      <c r="B18" s="6"/>
      <c r="C18" s="6"/>
      <c r="D18" s="9" t="s">
        <v>43</v>
      </c>
      <c r="E18" s="10" t="s">
        <v>18</v>
      </c>
      <c r="F18" s="11" t="s">
        <v>70</v>
      </c>
      <c r="G18" s="10" t="s">
        <v>71</v>
      </c>
      <c r="H18" s="26" t="s">
        <v>72</v>
      </c>
      <c r="I18" s="6" t="s">
        <v>73</v>
      </c>
      <c r="J18" s="12" t="s">
        <v>44</v>
      </c>
      <c r="K18" s="6" t="s">
        <v>45</v>
      </c>
      <c r="L18" s="6"/>
      <c r="M18" s="6"/>
      <c r="N18" s="6"/>
    </row>
    <row r="19" customHeight="1" spans="1:14">
      <c r="A19" s="6"/>
      <c r="B19" s="6"/>
      <c r="C19" s="6"/>
      <c r="D19" s="13" t="s">
        <v>216</v>
      </c>
      <c r="L19" s="6"/>
      <c r="M19" s="6"/>
      <c r="N19" s="6"/>
    </row>
    <row r="20" customHeight="1" spans="1:14">
      <c r="A20" s="6"/>
      <c r="B20" s="6"/>
      <c r="C20" s="6"/>
      <c r="D20" s="6"/>
      <c r="E20" s="6"/>
      <c r="F20" s="6"/>
      <c r="G20" s="6"/>
      <c r="H20" s="6"/>
      <c r="I20" s="6"/>
      <c r="J20" s="6"/>
      <c r="K20" s="6">
        <v>566.96</v>
      </c>
      <c r="L20" s="6"/>
      <c r="M20" s="6"/>
      <c r="N20" s="6"/>
    </row>
  </sheetData>
  <mergeCells count="22">
    <mergeCell ref="A4:B4"/>
    <mergeCell ref="D19:K19"/>
    <mergeCell ref="D11:D12"/>
    <mergeCell ref="D14:D16"/>
    <mergeCell ref="E14:E16"/>
    <mergeCell ref="L1:L3"/>
    <mergeCell ref="M1:M3"/>
    <mergeCell ref="A1:C3"/>
    <mergeCell ref="D1:E3"/>
    <mergeCell ref="J1:K3"/>
    <mergeCell ref="F1:I3"/>
    <mergeCell ref="A5:B7"/>
    <mergeCell ref="M5:N7"/>
    <mergeCell ref="A8:B10"/>
    <mergeCell ref="M8:N10"/>
    <mergeCell ref="A11:B13"/>
    <mergeCell ref="M11:N13"/>
    <mergeCell ref="A14:B16"/>
    <mergeCell ref="M14:N16"/>
    <mergeCell ref="F14:G16"/>
    <mergeCell ref="H14:I16"/>
    <mergeCell ref="J14:K16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君联16楼"/>
  <dimension ref="A1:N19"/>
  <sheetViews>
    <sheetView workbookViewId="0">
      <selection activeCell="A1" sqref="A1"/>
    </sheetView>
  </sheetViews>
  <sheetFormatPr defaultColWidth="14" defaultRowHeight="18" customHeight="1"/>
  <cols>
    <col min="1" max="3" width="9.70833333333333" customWidth="1"/>
    <col min="4" max="4" width="13.7083333333333" customWidth="1"/>
    <col min="5" max="6" width="9.70833333333333" customWidth="1"/>
    <col min="7" max="7" width="12.7083333333333" customWidth="1"/>
    <col min="8" max="13" width="9.70833333333333" customWidth="1"/>
    <col min="14" max="14" width="14.7083333333333" customWidth="1"/>
  </cols>
  <sheetData>
    <row r="1" customHeight="1" spans="1:14">
      <c r="A1" s="14"/>
      <c r="B1" s="4" t="s">
        <v>217</v>
      </c>
      <c r="C1" s="2"/>
      <c r="D1" s="4" t="s">
        <v>218</v>
      </c>
      <c r="E1" s="2"/>
      <c r="F1" s="5" t="s">
        <v>219</v>
      </c>
      <c r="G1" s="2"/>
      <c r="H1" s="2"/>
      <c r="I1" s="2"/>
      <c r="J1" s="4" t="s">
        <v>220</v>
      </c>
      <c r="K1" s="2"/>
      <c r="L1" s="4" t="s">
        <v>221</v>
      </c>
      <c r="M1" s="4" t="s">
        <v>222</v>
      </c>
      <c r="N1" s="2"/>
    </row>
    <row r="2" customHeight="1" spans="1:14">
      <c r="A2" s="1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Height="1" spans="1:14">
      <c r="A3" s="15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Height="1" spans="1:14">
      <c r="A4" s="8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16" t="s">
        <v>223</v>
      </c>
    </row>
    <row r="5" customHeight="1" spans="1:14">
      <c r="A5" s="4" t="s">
        <v>224</v>
      </c>
      <c r="B5" s="2"/>
      <c r="C5" s="6"/>
      <c r="D5" s="6"/>
      <c r="E5" s="6"/>
      <c r="F5" s="6"/>
      <c r="G5" s="6"/>
      <c r="H5" s="6"/>
      <c r="I5" s="6"/>
      <c r="J5" s="6"/>
      <c r="K5" s="6"/>
      <c r="L5" s="6"/>
      <c r="M5" s="5" t="s">
        <v>225</v>
      </c>
      <c r="N5" s="2"/>
    </row>
    <row r="6" customHeight="1" spans="1:14">
      <c r="A6" s="2"/>
      <c r="B6" s="2"/>
      <c r="C6" s="6"/>
      <c r="D6" s="6"/>
      <c r="E6" s="6"/>
      <c r="F6" s="6"/>
      <c r="G6" s="6"/>
      <c r="H6" s="6"/>
      <c r="I6" s="6"/>
      <c r="J6" s="6"/>
      <c r="K6" s="6"/>
      <c r="L6" s="6"/>
      <c r="M6" s="2"/>
      <c r="N6" s="2"/>
    </row>
    <row r="7" customHeight="1" spans="1:14">
      <c r="A7" s="2"/>
      <c r="B7" s="2"/>
      <c r="C7" s="6"/>
      <c r="D7" s="6"/>
      <c r="E7" s="6"/>
      <c r="F7" s="6"/>
      <c r="G7" s="6"/>
      <c r="H7" s="6"/>
      <c r="I7" s="6"/>
      <c r="J7" s="6"/>
      <c r="K7" s="6"/>
      <c r="L7" s="6"/>
      <c r="M7" s="2"/>
      <c r="N7" s="2"/>
    </row>
    <row r="8" customHeight="1" spans="1:14">
      <c r="A8" s="4" t="s">
        <v>226</v>
      </c>
      <c r="B8" s="2"/>
      <c r="C8" s="6"/>
      <c r="D8" s="6"/>
      <c r="E8" s="6"/>
      <c r="F8" s="6"/>
      <c r="G8" s="6"/>
      <c r="H8" s="6"/>
      <c r="I8" s="6"/>
      <c r="J8" s="6"/>
      <c r="K8" s="6"/>
      <c r="L8" s="6"/>
      <c r="M8" s="5" t="s">
        <v>227</v>
      </c>
      <c r="N8" s="2"/>
    </row>
    <row r="9" customHeight="1" spans="1:14">
      <c r="A9" s="2"/>
      <c r="B9" s="2"/>
      <c r="C9" s="6"/>
      <c r="D9" s="6"/>
      <c r="E9" s="6"/>
      <c r="F9" s="6"/>
      <c r="G9" s="6"/>
      <c r="H9" s="6"/>
      <c r="I9" s="6"/>
      <c r="J9" s="6"/>
      <c r="K9" s="6"/>
      <c r="L9" s="6"/>
      <c r="M9" s="2"/>
      <c r="N9" s="2"/>
    </row>
    <row r="10" customHeight="1" spans="1:14">
      <c r="A10" s="2"/>
      <c r="B10" s="2"/>
      <c r="C10" s="6"/>
      <c r="D10" s="6"/>
      <c r="E10" s="6"/>
      <c r="F10" s="6"/>
      <c r="G10" s="6"/>
      <c r="H10" s="6"/>
      <c r="I10" s="6"/>
      <c r="J10" s="6"/>
      <c r="K10" s="6"/>
      <c r="L10" s="6"/>
      <c r="M10" s="2"/>
      <c r="N10" s="2"/>
    </row>
    <row r="11" customHeight="1" spans="1:14">
      <c r="A11" s="4" t="s">
        <v>228</v>
      </c>
      <c r="B11" s="2"/>
      <c r="C11" s="6"/>
      <c r="D11" s="4" t="s">
        <v>229</v>
      </c>
      <c r="E11" s="6"/>
      <c r="F11" s="6"/>
      <c r="G11" s="6"/>
      <c r="H11" s="6"/>
      <c r="I11" s="6"/>
      <c r="J11" s="6"/>
      <c r="K11" s="6"/>
      <c r="L11" s="6"/>
      <c r="M11" s="4" t="s">
        <v>230</v>
      </c>
      <c r="N11" s="2"/>
    </row>
    <row r="12" customHeight="1" spans="1:14">
      <c r="A12" s="2"/>
      <c r="B12" s="2"/>
      <c r="C12" s="6"/>
      <c r="D12" s="2"/>
      <c r="E12" s="6"/>
      <c r="F12" s="6"/>
      <c r="G12" s="6"/>
      <c r="H12" s="6"/>
      <c r="I12" s="6"/>
      <c r="J12" s="6"/>
      <c r="K12" s="6"/>
      <c r="L12" s="6"/>
      <c r="M12" s="2"/>
      <c r="N12" s="2"/>
    </row>
    <row r="13" customHeight="1" spans="1:14">
      <c r="A13" s="2"/>
      <c r="B13" s="2"/>
      <c r="C13" s="6"/>
      <c r="D13" s="6"/>
      <c r="E13" s="6"/>
      <c r="F13" s="6"/>
      <c r="G13" s="6"/>
      <c r="H13" s="6"/>
      <c r="I13" s="6"/>
      <c r="J13" s="6"/>
      <c r="K13" s="6"/>
      <c r="L13" s="6"/>
      <c r="M13" s="2"/>
      <c r="N13" s="2"/>
    </row>
    <row r="14" customHeight="1" spans="1:14">
      <c r="A14" s="4" t="s">
        <v>231</v>
      </c>
      <c r="B14" s="2"/>
      <c r="C14" s="6"/>
      <c r="D14" s="4" t="s">
        <v>232</v>
      </c>
      <c r="E14" s="4" t="s">
        <v>226</v>
      </c>
      <c r="F14" s="7" t="s">
        <v>233</v>
      </c>
      <c r="G14" s="2"/>
      <c r="H14" s="7" t="s">
        <v>234</v>
      </c>
      <c r="I14" s="2"/>
      <c r="J14" s="7" t="s">
        <v>235</v>
      </c>
      <c r="K14" s="2"/>
      <c r="L14" s="6"/>
      <c r="M14" s="4" t="s">
        <v>236</v>
      </c>
      <c r="N14" s="2"/>
    </row>
    <row r="15" customHeight="1" spans="1:14">
      <c r="A15" s="2"/>
      <c r="B15" s="2"/>
      <c r="C15" s="6"/>
      <c r="D15" s="2"/>
      <c r="E15" s="2"/>
      <c r="F15" s="2"/>
      <c r="G15" s="2"/>
      <c r="H15" s="2"/>
      <c r="I15" s="2"/>
      <c r="J15" s="2"/>
      <c r="K15" s="2"/>
      <c r="L15" s="6"/>
      <c r="M15" s="2"/>
      <c r="N15" s="2"/>
    </row>
    <row r="16" customHeight="1" spans="1:14">
      <c r="A16" s="2"/>
      <c r="B16" s="2"/>
      <c r="C16" s="6"/>
      <c r="D16" s="2"/>
      <c r="E16" s="2"/>
      <c r="F16" s="2"/>
      <c r="G16" s="2"/>
      <c r="H16" s="2"/>
      <c r="I16" s="2"/>
      <c r="J16" s="2"/>
      <c r="K16" s="2"/>
      <c r="L16" s="6"/>
      <c r="M16" s="2"/>
      <c r="N16" s="2"/>
    </row>
    <row r="17" customHeight="1" spans="1:1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customHeight="1" spans="1:14">
      <c r="A18" s="6"/>
      <c r="B18" s="6"/>
      <c r="C18" s="6"/>
      <c r="D18" s="9" t="s">
        <v>43</v>
      </c>
      <c r="E18" s="10" t="s">
        <v>18</v>
      </c>
      <c r="F18" s="11" t="s">
        <v>70</v>
      </c>
      <c r="G18" s="10" t="s">
        <v>71</v>
      </c>
      <c r="H18" s="12" t="s">
        <v>44</v>
      </c>
      <c r="I18" s="6" t="s">
        <v>45</v>
      </c>
      <c r="J18" s="6"/>
      <c r="K18" s="6"/>
      <c r="L18" s="6"/>
      <c r="M18" s="6"/>
      <c r="N18" s="6"/>
    </row>
    <row r="19" customHeight="1" spans="1:14">
      <c r="A19" s="6"/>
      <c r="B19" s="6"/>
      <c r="C19" s="6"/>
      <c r="D19" s="13" t="s">
        <v>237</v>
      </c>
      <c r="L19" s="6"/>
      <c r="M19" s="6"/>
      <c r="N19" s="6"/>
    </row>
  </sheetData>
  <mergeCells count="22">
    <mergeCell ref="A4:B4"/>
    <mergeCell ref="D19:K19"/>
    <mergeCell ref="D11:D12"/>
    <mergeCell ref="D14:D16"/>
    <mergeCell ref="E14:E16"/>
    <mergeCell ref="L1:L3"/>
    <mergeCell ref="B1:C3"/>
    <mergeCell ref="D1:E3"/>
    <mergeCell ref="J1:K3"/>
    <mergeCell ref="F1:I3"/>
    <mergeCell ref="M1:N3"/>
    <mergeCell ref="A5:B7"/>
    <mergeCell ref="M5:N7"/>
    <mergeCell ref="A8:B10"/>
    <mergeCell ref="M8:N10"/>
    <mergeCell ref="A11:B13"/>
    <mergeCell ref="M11:N13"/>
    <mergeCell ref="A14:B16"/>
    <mergeCell ref="M14:N16"/>
    <mergeCell ref="F14:G16"/>
    <mergeCell ref="H14:I16"/>
    <mergeCell ref="J14:K16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君联17楼"/>
  <dimension ref="A1:O19"/>
  <sheetViews>
    <sheetView workbookViewId="0">
      <selection activeCell="A1" sqref="A1:C3"/>
    </sheetView>
  </sheetViews>
  <sheetFormatPr defaultColWidth="14" defaultRowHeight="18" customHeight="1"/>
  <cols>
    <col min="1" max="3" width="9.70833333333333" customWidth="1"/>
    <col min="4" max="4" width="11.7083333333333" customWidth="1"/>
    <col min="5" max="6" width="9.70833333333333" customWidth="1"/>
    <col min="7" max="7" width="13.7083333333333" customWidth="1"/>
    <col min="8" max="15" width="9.70833333333333" customWidth="1"/>
  </cols>
  <sheetData>
    <row r="1" customHeight="1" spans="1:15">
      <c r="A1" s="4" t="s">
        <v>238</v>
      </c>
      <c r="B1" s="2"/>
      <c r="C1" s="2"/>
      <c r="D1" s="4" t="s">
        <v>239</v>
      </c>
      <c r="E1" s="2"/>
      <c r="F1" s="5" t="s">
        <v>240</v>
      </c>
      <c r="G1" s="2"/>
      <c r="H1" s="5" t="s">
        <v>241</v>
      </c>
      <c r="I1" s="2"/>
      <c r="J1" s="4" t="s">
        <v>242</v>
      </c>
      <c r="K1" s="2"/>
      <c r="L1" s="4" t="s">
        <v>189</v>
      </c>
      <c r="M1" s="20" t="s">
        <v>243</v>
      </c>
      <c r="N1" s="6"/>
      <c r="O1" s="6"/>
    </row>
    <row r="2" customHeight="1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6"/>
      <c r="O2" s="6"/>
    </row>
    <row r="3" customHeight="1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6"/>
      <c r="O3" s="6"/>
    </row>
    <row r="4" customHeight="1" spans="1:15">
      <c r="A4" s="4" t="s">
        <v>244</v>
      </c>
      <c r="B4" s="2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customHeight="1" spans="1:15">
      <c r="A5" s="4" t="s">
        <v>245</v>
      </c>
      <c r="B5" s="2"/>
      <c r="C5" s="6"/>
      <c r="D5" s="6"/>
      <c r="E5" s="6"/>
      <c r="F5" s="6"/>
      <c r="G5" s="6"/>
      <c r="H5" s="6"/>
      <c r="I5" s="6"/>
      <c r="J5" s="6"/>
      <c r="K5" s="6"/>
      <c r="L5" s="6"/>
      <c r="M5" s="5" t="s">
        <v>246</v>
      </c>
      <c r="N5" s="2"/>
      <c r="O5" s="6"/>
    </row>
    <row r="6" customHeight="1" spans="1:15">
      <c r="A6" s="2"/>
      <c r="B6" s="2"/>
      <c r="C6" s="6"/>
      <c r="D6" s="6"/>
      <c r="E6" s="6"/>
      <c r="F6" s="6"/>
      <c r="G6" s="6"/>
      <c r="H6" s="6"/>
      <c r="I6" s="6"/>
      <c r="J6" s="6"/>
      <c r="K6" s="6"/>
      <c r="L6" s="6"/>
      <c r="M6" s="2"/>
      <c r="N6" s="2"/>
      <c r="O6" s="6"/>
    </row>
    <row r="7" customHeight="1" spans="1:15">
      <c r="A7" s="2"/>
      <c r="B7" s="2"/>
      <c r="C7" s="6"/>
      <c r="D7" s="6"/>
      <c r="E7" s="6"/>
      <c r="F7" s="6"/>
      <c r="G7" s="6"/>
      <c r="H7" s="6"/>
      <c r="I7" s="6"/>
      <c r="J7" s="6"/>
      <c r="K7" s="6"/>
      <c r="L7" s="6"/>
      <c r="M7" s="2"/>
      <c r="N7" s="2"/>
      <c r="O7" s="6"/>
    </row>
    <row r="8" customHeight="1" spans="1:15">
      <c r="A8" s="4" t="s">
        <v>247</v>
      </c>
      <c r="B8" s="2"/>
      <c r="C8" s="6"/>
      <c r="D8" s="6"/>
      <c r="E8" s="6"/>
      <c r="F8" s="6"/>
      <c r="G8" s="6"/>
      <c r="H8" s="6"/>
      <c r="I8" s="6"/>
      <c r="J8" s="6"/>
      <c r="K8" s="6"/>
      <c r="L8" s="6"/>
      <c r="M8" s="7" t="s">
        <v>248</v>
      </c>
      <c r="N8" s="2"/>
      <c r="O8" s="6"/>
    </row>
    <row r="9" customHeight="1" spans="1:15">
      <c r="A9" s="2"/>
      <c r="B9" s="2"/>
      <c r="C9" s="6"/>
      <c r="D9" s="6"/>
      <c r="E9" s="6"/>
      <c r="F9" s="6"/>
      <c r="G9" s="6"/>
      <c r="H9" s="6"/>
      <c r="I9" s="6"/>
      <c r="J9" s="6"/>
      <c r="K9" s="6"/>
      <c r="L9" s="6"/>
      <c r="M9" s="2"/>
      <c r="N9" s="2"/>
      <c r="O9" s="6"/>
    </row>
    <row r="10" customHeight="1" spans="1:15">
      <c r="A10" s="2"/>
      <c r="B10" s="2"/>
      <c r="C10" s="6"/>
      <c r="D10" s="6"/>
      <c r="E10" s="6"/>
      <c r="F10" s="6"/>
      <c r="G10" s="6"/>
      <c r="H10" s="6"/>
      <c r="I10" s="6"/>
      <c r="J10" s="6"/>
      <c r="K10" s="6"/>
      <c r="L10" s="6"/>
      <c r="M10" s="2"/>
      <c r="N10" s="2"/>
      <c r="O10" s="6"/>
    </row>
    <row r="11" customHeight="1" spans="1:15">
      <c r="A11" s="4" t="s">
        <v>249</v>
      </c>
      <c r="B11" s="2"/>
      <c r="C11" s="6"/>
      <c r="D11" s="4" t="s">
        <v>207</v>
      </c>
      <c r="E11" s="6"/>
      <c r="F11" s="6"/>
      <c r="G11" s="6"/>
      <c r="H11" s="6"/>
      <c r="I11" s="6"/>
      <c r="J11" s="6"/>
      <c r="K11" s="6"/>
      <c r="L11" s="6"/>
      <c r="M11" s="21" t="s">
        <v>250</v>
      </c>
      <c r="N11" s="2"/>
      <c r="O11" s="6"/>
    </row>
    <row r="12" customHeight="1" spans="1:15">
      <c r="A12" s="2"/>
      <c r="B12" s="2"/>
      <c r="C12" s="6"/>
      <c r="D12" s="2"/>
      <c r="E12" s="6"/>
      <c r="F12" s="6"/>
      <c r="G12" s="6"/>
      <c r="H12" s="6"/>
      <c r="I12" s="6"/>
      <c r="J12" s="6"/>
      <c r="K12" s="6"/>
      <c r="L12" s="6"/>
      <c r="M12" s="2"/>
      <c r="N12" s="2"/>
      <c r="O12" s="6"/>
    </row>
    <row r="13" customHeight="1" spans="1:15">
      <c r="A13" s="2"/>
      <c r="B13" s="2"/>
      <c r="C13" s="6"/>
      <c r="D13" s="6"/>
      <c r="E13" s="6"/>
      <c r="F13" s="6"/>
      <c r="G13" s="6"/>
      <c r="H13" s="6"/>
      <c r="I13" s="6"/>
      <c r="J13" s="6"/>
      <c r="K13" s="6"/>
      <c r="L13" s="6"/>
      <c r="M13" s="2"/>
      <c r="N13" s="2"/>
      <c r="O13" s="6"/>
    </row>
    <row r="14" customHeight="1" spans="1:15">
      <c r="A14" s="22" t="s">
        <v>251</v>
      </c>
      <c r="B14" s="23"/>
      <c r="C14" s="23"/>
      <c r="D14" s="4" t="s">
        <v>252</v>
      </c>
      <c r="E14" s="2"/>
      <c r="F14" s="4" t="s">
        <v>253</v>
      </c>
      <c r="G14" s="2"/>
      <c r="H14" s="4" t="s">
        <v>254</v>
      </c>
      <c r="I14" s="2"/>
      <c r="J14" s="5" t="s">
        <v>255</v>
      </c>
      <c r="K14" s="2"/>
      <c r="L14" s="24" t="s">
        <v>256</v>
      </c>
      <c r="M14" s="25"/>
      <c r="N14" s="25"/>
      <c r="O14" s="6"/>
    </row>
    <row r="15" customHeight="1" spans="1:15">
      <c r="A15" s="23"/>
      <c r="B15" s="23"/>
      <c r="C15" s="23"/>
      <c r="D15" s="2"/>
      <c r="E15" s="2"/>
      <c r="F15" s="2"/>
      <c r="G15" s="2"/>
      <c r="H15" s="2"/>
      <c r="I15" s="2"/>
      <c r="J15" s="2"/>
      <c r="K15" s="2"/>
      <c r="L15" s="25"/>
      <c r="M15" s="25"/>
      <c r="N15" s="25"/>
      <c r="O15" s="6"/>
    </row>
    <row r="16" customHeight="1" spans="1:15">
      <c r="A16" s="23"/>
      <c r="B16" s="23"/>
      <c r="C16" s="23"/>
      <c r="D16" s="2"/>
      <c r="E16" s="2"/>
      <c r="F16" s="2"/>
      <c r="G16" s="2"/>
      <c r="H16" s="2"/>
      <c r="I16" s="2"/>
      <c r="J16" s="2"/>
      <c r="K16" s="2"/>
      <c r="L16" s="25"/>
      <c r="M16" s="25"/>
      <c r="N16" s="25"/>
      <c r="O16" s="6"/>
    </row>
    <row r="17" customHeight="1" spans="1:1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customHeight="1" spans="1:15">
      <c r="A18" s="6"/>
      <c r="B18" s="6"/>
      <c r="C18" s="6"/>
      <c r="D18" s="9" t="s">
        <v>43</v>
      </c>
      <c r="E18" s="10" t="s">
        <v>18</v>
      </c>
      <c r="F18" s="11" t="s">
        <v>70</v>
      </c>
      <c r="G18" s="10" t="s">
        <v>71</v>
      </c>
      <c r="H18" s="26" t="s">
        <v>72</v>
      </c>
      <c r="I18" s="6" t="s">
        <v>73</v>
      </c>
      <c r="J18" s="12" t="s">
        <v>44</v>
      </c>
      <c r="K18" s="6" t="s">
        <v>45</v>
      </c>
      <c r="L18" s="6"/>
      <c r="M18" s="6"/>
      <c r="N18" s="6"/>
      <c r="O18" s="6"/>
    </row>
    <row r="19" customHeight="1" spans="1:15">
      <c r="A19" s="6"/>
      <c r="B19" s="6"/>
      <c r="C19" s="6"/>
      <c r="D19" s="13" t="s">
        <v>257</v>
      </c>
      <c r="L19" s="6"/>
      <c r="M19" s="6"/>
      <c r="N19" s="6"/>
      <c r="O19" s="6"/>
    </row>
  </sheetData>
  <mergeCells count="22">
    <mergeCell ref="A4:B4"/>
    <mergeCell ref="D19:K19"/>
    <mergeCell ref="D11:D12"/>
    <mergeCell ref="L1:L3"/>
    <mergeCell ref="M1:M3"/>
    <mergeCell ref="A1:C3"/>
    <mergeCell ref="D1:E3"/>
    <mergeCell ref="F1:G3"/>
    <mergeCell ref="H1:I3"/>
    <mergeCell ref="J1:K3"/>
    <mergeCell ref="A5:B7"/>
    <mergeCell ref="M5:N7"/>
    <mergeCell ref="A8:B10"/>
    <mergeCell ref="M8:N10"/>
    <mergeCell ref="A11:B13"/>
    <mergeCell ref="M11:N13"/>
    <mergeCell ref="A14:C16"/>
    <mergeCell ref="D14:E16"/>
    <mergeCell ref="F14:G16"/>
    <mergeCell ref="H14:I16"/>
    <mergeCell ref="J14:K16"/>
    <mergeCell ref="L14:N16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君联18楼"/>
  <dimension ref="A1:N20"/>
  <sheetViews>
    <sheetView workbookViewId="0">
      <selection activeCell="A1" sqref="A1"/>
    </sheetView>
  </sheetViews>
  <sheetFormatPr defaultColWidth="14" defaultRowHeight="18" customHeight="1"/>
  <cols>
    <col min="1" max="14" width="9.70833333333333" customWidth="1"/>
  </cols>
  <sheetData>
    <row r="1" customHeight="1" spans="1:14">
      <c r="A1" s="14"/>
      <c r="B1" s="7" t="s">
        <v>258</v>
      </c>
      <c r="C1" s="2"/>
      <c r="D1" s="1" t="s">
        <v>259</v>
      </c>
      <c r="E1" s="2"/>
      <c r="F1" s="5" t="s">
        <v>260</v>
      </c>
      <c r="G1" s="2"/>
      <c r="H1" s="2"/>
      <c r="I1" s="2"/>
      <c r="J1" s="4" t="s">
        <v>261</v>
      </c>
      <c r="K1" s="2"/>
      <c r="L1" s="4" t="s">
        <v>189</v>
      </c>
      <c r="M1" s="4" t="s">
        <v>262</v>
      </c>
      <c r="N1" s="2"/>
    </row>
    <row r="2" customHeight="1" spans="1:14">
      <c r="A2" s="1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Height="1" spans="1:14">
      <c r="A3" s="15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Height="1" spans="1:14">
      <c r="A4" s="8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16" t="s">
        <v>263</v>
      </c>
    </row>
    <row r="5" customHeight="1" spans="1:14">
      <c r="A5" s="4" t="s">
        <v>264</v>
      </c>
      <c r="B5" s="2"/>
      <c r="C5" s="6"/>
      <c r="D5" s="6"/>
      <c r="E5" s="6"/>
      <c r="F5" s="6"/>
      <c r="G5" s="6"/>
      <c r="H5" s="6"/>
      <c r="I5" s="6"/>
      <c r="J5" s="6"/>
      <c r="K5" s="6"/>
      <c r="L5" s="6"/>
      <c r="M5" s="17" t="s">
        <v>265</v>
      </c>
      <c r="N5" s="2"/>
    </row>
    <row r="6" customHeight="1" spans="1:14">
      <c r="A6" s="2"/>
      <c r="B6" s="2"/>
      <c r="C6" s="6"/>
      <c r="D6" s="6"/>
      <c r="E6" s="6"/>
      <c r="F6" s="6"/>
      <c r="G6" s="6"/>
      <c r="H6" s="6"/>
      <c r="I6" s="6"/>
      <c r="J6" s="6"/>
      <c r="K6" s="6"/>
      <c r="L6" s="6"/>
      <c r="M6" s="2"/>
      <c r="N6" s="2"/>
    </row>
    <row r="7" customHeight="1" spans="1:14">
      <c r="A7" s="2"/>
      <c r="B7" s="2"/>
      <c r="C7" s="6"/>
      <c r="D7" s="6"/>
      <c r="E7" s="6"/>
      <c r="F7" s="6"/>
      <c r="G7" s="6"/>
      <c r="H7" s="6"/>
      <c r="I7" s="6"/>
      <c r="J7" s="6"/>
      <c r="K7" s="6"/>
      <c r="L7" s="6"/>
      <c r="M7" s="2"/>
      <c r="N7" s="2"/>
    </row>
    <row r="8" customHeight="1" spans="1:14">
      <c r="A8" s="4" t="s">
        <v>266</v>
      </c>
      <c r="B8" s="2"/>
      <c r="C8" s="6"/>
      <c r="D8" s="6"/>
      <c r="E8" s="6"/>
      <c r="F8" s="6"/>
      <c r="G8" s="6"/>
      <c r="H8" s="6"/>
      <c r="I8" s="6"/>
      <c r="J8" s="6"/>
      <c r="K8" s="6"/>
      <c r="L8" s="6"/>
      <c r="M8" s="4" t="s">
        <v>267</v>
      </c>
      <c r="N8" s="2"/>
    </row>
    <row r="9" customHeight="1" spans="1:14">
      <c r="A9" s="2"/>
      <c r="B9" s="2"/>
      <c r="C9" s="6"/>
      <c r="D9" s="6"/>
      <c r="E9" s="6"/>
      <c r="F9" s="6"/>
      <c r="G9" s="6"/>
      <c r="H9" s="6"/>
      <c r="I9" s="6"/>
      <c r="J9" s="6"/>
      <c r="K9" s="6"/>
      <c r="L9" s="6"/>
      <c r="M9" s="2"/>
      <c r="N9" s="2"/>
    </row>
    <row r="10" customHeight="1" spans="1:14">
      <c r="A10" s="2"/>
      <c r="B10" s="2"/>
      <c r="C10" s="6"/>
      <c r="D10" s="6"/>
      <c r="E10" s="6"/>
      <c r="F10" s="6"/>
      <c r="G10" s="6"/>
      <c r="H10" s="6"/>
      <c r="I10" s="6"/>
      <c r="J10" s="6"/>
      <c r="K10" s="6"/>
      <c r="L10" s="6"/>
      <c r="M10" s="2"/>
      <c r="N10" s="2"/>
    </row>
    <row r="11" customHeight="1" spans="1:14">
      <c r="A11" s="2"/>
      <c r="B11" s="2"/>
      <c r="C11" s="6"/>
      <c r="D11" s="4" t="s">
        <v>207</v>
      </c>
      <c r="E11" s="6"/>
      <c r="F11" s="6"/>
      <c r="G11" s="6"/>
      <c r="H11" s="6"/>
      <c r="I11" s="6"/>
      <c r="J11" s="6"/>
      <c r="K11" s="6"/>
      <c r="L11" s="6"/>
      <c r="M11" s="2"/>
      <c r="N11" s="2"/>
    </row>
    <row r="12" customHeight="1" spans="1:14">
      <c r="A12" s="2"/>
      <c r="B12" s="2"/>
      <c r="C12" s="6"/>
      <c r="D12" s="2"/>
      <c r="E12" s="6"/>
      <c r="F12" s="6"/>
      <c r="G12" s="6"/>
      <c r="H12" s="6"/>
      <c r="I12" s="6"/>
      <c r="J12" s="6"/>
      <c r="K12" s="6"/>
      <c r="L12" s="6"/>
      <c r="M12" s="2"/>
      <c r="N12" s="2"/>
    </row>
    <row r="13" customHeight="1" spans="1:14">
      <c r="A13" s="2"/>
      <c r="B13" s="2"/>
      <c r="C13" s="6"/>
      <c r="D13" s="6"/>
      <c r="E13" s="6"/>
      <c r="F13" s="6"/>
      <c r="G13" s="6"/>
      <c r="H13" s="6"/>
      <c r="I13" s="6"/>
      <c r="J13" s="6"/>
      <c r="K13" s="6"/>
      <c r="L13" s="6"/>
      <c r="M13" s="2"/>
      <c r="N13" s="2"/>
    </row>
    <row r="14" customHeight="1" spans="1:14">
      <c r="A14" s="4" t="s">
        <v>268</v>
      </c>
      <c r="B14" s="2"/>
      <c r="C14" s="6"/>
      <c r="D14" s="4" t="s">
        <v>269</v>
      </c>
      <c r="E14" s="4" t="s">
        <v>270</v>
      </c>
      <c r="F14" s="4" t="s">
        <v>271</v>
      </c>
      <c r="G14" s="2"/>
      <c r="H14" s="4" t="s">
        <v>272</v>
      </c>
      <c r="I14" s="2"/>
      <c r="J14" s="16"/>
      <c r="K14" s="4" t="s">
        <v>273</v>
      </c>
      <c r="L14" s="6"/>
      <c r="M14" s="4" t="s">
        <v>274</v>
      </c>
      <c r="N14" s="2"/>
    </row>
    <row r="15" customHeight="1" spans="1:14">
      <c r="A15" s="2"/>
      <c r="B15" s="2"/>
      <c r="C15" s="6"/>
      <c r="D15" s="2"/>
      <c r="E15" s="2"/>
      <c r="F15" s="2"/>
      <c r="G15" s="2"/>
      <c r="H15" s="2"/>
      <c r="I15" s="2"/>
      <c r="J15" s="18"/>
      <c r="K15" s="2"/>
      <c r="L15" s="6"/>
      <c r="M15" s="2"/>
      <c r="N15" s="2"/>
    </row>
    <row r="16" customHeight="1" spans="1:14">
      <c r="A16" s="2"/>
      <c r="B16" s="2"/>
      <c r="C16" s="6"/>
      <c r="D16" s="2"/>
      <c r="E16" s="2"/>
      <c r="F16" s="2"/>
      <c r="G16" s="2"/>
      <c r="H16" s="2"/>
      <c r="I16" s="2"/>
      <c r="J16" s="4" t="s">
        <v>275</v>
      </c>
      <c r="K16" s="2"/>
      <c r="L16" s="6"/>
      <c r="M16" s="2"/>
      <c r="N16" s="2"/>
    </row>
    <row r="17" customHeight="1" spans="1:14">
      <c r="A17" s="2"/>
      <c r="B17" s="2"/>
      <c r="C17" s="6"/>
      <c r="D17" s="2"/>
      <c r="E17" s="2"/>
      <c r="F17" s="2"/>
      <c r="G17" s="2"/>
      <c r="H17" s="2"/>
      <c r="I17" s="2"/>
      <c r="J17" s="2"/>
      <c r="K17" s="2"/>
      <c r="L17" s="6"/>
      <c r="M17" s="2"/>
      <c r="N17" s="2"/>
    </row>
    <row r="18" customHeight="1" spans="1:14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customHeight="1" spans="1:14">
      <c r="A19" s="6"/>
      <c r="B19" s="6"/>
      <c r="C19" s="6"/>
      <c r="D19" s="9" t="s">
        <v>43</v>
      </c>
      <c r="E19" s="10" t="s">
        <v>18</v>
      </c>
      <c r="F19" s="11" t="s">
        <v>70</v>
      </c>
      <c r="G19" s="10" t="s">
        <v>71</v>
      </c>
      <c r="H19" s="12" t="s">
        <v>44</v>
      </c>
      <c r="I19" s="6" t="s">
        <v>45</v>
      </c>
      <c r="J19" s="19" t="s">
        <v>276</v>
      </c>
      <c r="K19" s="6" t="s">
        <v>277</v>
      </c>
      <c r="L19" s="6"/>
      <c r="M19" s="6"/>
      <c r="N19" s="6"/>
    </row>
    <row r="20" customHeight="1" spans="1:14">
      <c r="A20" s="6"/>
      <c r="B20" s="6"/>
      <c r="C20" s="6"/>
      <c r="D20" s="13" t="s">
        <v>278</v>
      </c>
      <c r="L20" s="6"/>
      <c r="M20" s="6"/>
      <c r="N20" s="6"/>
    </row>
  </sheetData>
  <mergeCells count="21">
    <mergeCell ref="A4:B4"/>
    <mergeCell ref="D20:K20"/>
    <mergeCell ref="D11:D12"/>
    <mergeCell ref="D14:D17"/>
    <mergeCell ref="E14:E17"/>
    <mergeCell ref="K14:K15"/>
    <mergeCell ref="L1:L3"/>
    <mergeCell ref="B1:C3"/>
    <mergeCell ref="D1:E3"/>
    <mergeCell ref="J1:K3"/>
    <mergeCell ref="F1:I3"/>
    <mergeCell ref="M1:N3"/>
    <mergeCell ref="A5:B7"/>
    <mergeCell ref="M5:N7"/>
    <mergeCell ref="A8:B13"/>
    <mergeCell ref="M8:N13"/>
    <mergeCell ref="A14:B17"/>
    <mergeCell ref="M14:N17"/>
    <mergeCell ref="F14:G17"/>
    <mergeCell ref="H14:I17"/>
    <mergeCell ref="J16:K17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君联19楼"/>
  <dimension ref="A1:N19"/>
  <sheetViews>
    <sheetView workbookViewId="0">
      <selection activeCell="A1" sqref="A1:B1"/>
    </sheetView>
  </sheetViews>
  <sheetFormatPr defaultColWidth="14" defaultRowHeight="18" customHeight="1"/>
  <cols>
    <col min="1" max="14" width="9.70833333333333" customWidth="1"/>
  </cols>
  <sheetData>
    <row r="1" ht="16.5" spans="1:14">
      <c r="A1" s="1" t="s">
        <v>279</v>
      </c>
      <c r="B1" s="2"/>
      <c r="C1" s="3"/>
      <c r="D1" s="4" t="s">
        <v>280</v>
      </c>
      <c r="E1" s="2"/>
      <c r="F1" s="5" t="s">
        <v>281</v>
      </c>
      <c r="G1" s="2"/>
      <c r="H1" s="2"/>
      <c r="I1" s="2"/>
      <c r="J1" s="4" t="s">
        <v>282</v>
      </c>
      <c r="K1" s="2"/>
      <c r="L1" s="4" t="s">
        <v>126</v>
      </c>
      <c r="M1" s="4" t="s">
        <v>283</v>
      </c>
      <c r="N1" s="6"/>
    </row>
    <row r="2" ht="16.5" spans="1:14">
      <c r="A2" s="1" t="s">
        <v>284</v>
      </c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6"/>
    </row>
    <row r="3" ht="16.5" spans="1:14">
      <c r="A3" s="1" t="s">
        <v>285</v>
      </c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6"/>
    </row>
    <row r="4" ht="16.5" spans="1:14">
      <c r="A4" s="2"/>
      <c r="B4" s="2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ht="16.5" spans="1:14">
      <c r="A5" s="7" t="s">
        <v>286</v>
      </c>
      <c r="B5" s="2"/>
      <c r="C5" s="6"/>
      <c r="D5" s="6"/>
      <c r="E5" s="6"/>
      <c r="F5" s="6"/>
      <c r="G5" s="6"/>
      <c r="H5" s="6"/>
      <c r="I5" s="6"/>
      <c r="J5" s="6"/>
      <c r="K5" s="6"/>
      <c r="L5" s="6"/>
      <c r="M5" s="4" t="s">
        <v>287</v>
      </c>
      <c r="N5" s="2"/>
    </row>
    <row r="6" ht="16.5" spans="1:14">
      <c r="A6" s="2"/>
      <c r="B6" s="2"/>
      <c r="C6" s="6"/>
      <c r="D6" s="6"/>
      <c r="E6" s="6"/>
      <c r="F6" s="6"/>
      <c r="G6" s="6"/>
      <c r="H6" s="6"/>
      <c r="I6" s="6"/>
      <c r="J6" s="6"/>
      <c r="K6" s="6"/>
      <c r="L6" s="6"/>
      <c r="M6" s="2"/>
      <c r="N6" s="2"/>
    </row>
    <row r="7" ht="16.5" spans="1:14">
      <c r="A7" s="2"/>
      <c r="B7" s="2"/>
      <c r="C7" s="6"/>
      <c r="D7" s="6"/>
      <c r="E7" s="6"/>
      <c r="F7" s="6"/>
      <c r="G7" s="6"/>
      <c r="H7" s="6"/>
      <c r="I7" s="6"/>
      <c r="J7" s="6"/>
      <c r="K7" s="6"/>
      <c r="L7" s="6"/>
      <c r="M7" s="2"/>
      <c r="N7" s="2"/>
    </row>
    <row r="8" ht="16.5" spans="1:14">
      <c r="A8" s="7" t="s">
        <v>288</v>
      </c>
      <c r="B8" s="2"/>
      <c r="C8" s="6"/>
      <c r="D8" s="6"/>
      <c r="E8" s="6"/>
      <c r="F8" s="6"/>
      <c r="G8" s="6"/>
      <c r="H8" s="6"/>
      <c r="I8" s="6"/>
      <c r="J8" s="6"/>
      <c r="K8" s="6"/>
      <c r="L8" s="6"/>
      <c r="M8" s="2"/>
      <c r="N8" s="2"/>
    </row>
    <row r="9" ht="16.5" spans="1:14">
      <c r="A9" s="2"/>
      <c r="B9" s="2"/>
      <c r="C9" s="6"/>
      <c r="D9" s="6"/>
      <c r="E9" s="6"/>
      <c r="F9" s="6"/>
      <c r="G9" s="6"/>
      <c r="H9" s="6"/>
      <c r="I9" s="6"/>
      <c r="J9" s="6"/>
      <c r="K9" s="6"/>
      <c r="L9" s="6"/>
      <c r="M9" s="2"/>
      <c r="N9" s="2"/>
    </row>
    <row r="10" ht="16.5" spans="1:14">
      <c r="A10" s="2"/>
      <c r="B10" s="2"/>
      <c r="C10" s="6"/>
      <c r="D10" s="6"/>
      <c r="E10" s="6"/>
      <c r="F10" s="6"/>
      <c r="G10" s="6"/>
      <c r="H10" s="6"/>
      <c r="I10" s="6"/>
      <c r="J10" s="6"/>
      <c r="K10" s="6"/>
      <c r="L10" s="6"/>
      <c r="M10" s="2"/>
      <c r="N10" s="2"/>
    </row>
    <row r="11" ht="16.5" spans="1:14">
      <c r="A11" s="4" t="s">
        <v>289</v>
      </c>
      <c r="B11" s="2"/>
      <c r="C11" s="6"/>
      <c r="D11" s="4" t="s">
        <v>290</v>
      </c>
      <c r="E11" s="6"/>
      <c r="F11" s="6"/>
      <c r="G11" s="6"/>
      <c r="H11" s="6"/>
      <c r="I11" s="6"/>
      <c r="J11" s="6"/>
      <c r="K11" s="6"/>
      <c r="L11" s="6"/>
      <c r="M11" s="2"/>
      <c r="N11" s="2"/>
    </row>
    <row r="12" ht="25.5" customHeight="1" spans="1:14">
      <c r="A12" s="2"/>
      <c r="B12" s="2"/>
      <c r="C12" s="6"/>
      <c r="D12" s="2"/>
      <c r="E12" s="6"/>
      <c r="F12" s="6"/>
      <c r="G12" s="6"/>
      <c r="H12" s="6"/>
      <c r="I12" s="6"/>
      <c r="J12" s="6"/>
      <c r="K12" s="6"/>
      <c r="L12" s="6"/>
      <c r="M12" s="2"/>
      <c r="N12" s="2"/>
    </row>
    <row r="13" ht="16.5" spans="1:14">
      <c r="A13" s="8"/>
      <c r="C13" s="6"/>
      <c r="D13" s="6"/>
      <c r="E13" s="6"/>
      <c r="F13" s="6"/>
      <c r="G13" s="6"/>
      <c r="H13" s="6"/>
      <c r="I13" s="6"/>
      <c r="J13" s="6"/>
      <c r="K13" s="6"/>
      <c r="L13" s="6"/>
      <c r="M13" s="2"/>
      <c r="N13" s="2"/>
    </row>
    <row r="14" ht="16.5" spans="1:14">
      <c r="A14" s="5" t="s">
        <v>291</v>
      </c>
      <c r="B14" s="2"/>
      <c r="C14" s="6"/>
      <c r="D14" s="4" t="s">
        <v>292</v>
      </c>
      <c r="E14" s="4" t="s">
        <v>293</v>
      </c>
      <c r="F14" s="4" t="s">
        <v>294</v>
      </c>
      <c r="G14" s="2"/>
      <c r="H14" s="4" t="s">
        <v>295</v>
      </c>
      <c r="I14" s="2"/>
      <c r="J14" s="5" t="s">
        <v>296</v>
      </c>
      <c r="K14" s="2"/>
      <c r="L14" s="6"/>
      <c r="M14" s="4" t="s">
        <v>297</v>
      </c>
      <c r="N14" s="2"/>
    </row>
    <row r="15" ht="16.5" spans="1:14">
      <c r="A15" s="2"/>
      <c r="B15" s="2"/>
      <c r="C15" s="6"/>
      <c r="D15" s="2"/>
      <c r="E15" s="2"/>
      <c r="F15" s="2"/>
      <c r="G15" s="2"/>
      <c r="H15" s="2"/>
      <c r="I15" s="2"/>
      <c r="J15" s="2"/>
      <c r="K15" s="2"/>
      <c r="L15" s="6"/>
      <c r="M15" s="2"/>
      <c r="N15" s="2"/>
    </row>
    <row r="16" ht="16.5" spans="1:14">
      <c r="A16" s="2"/>
      <c r="B16" s="2"/>
      <c r="C16" s="6"/>
      <c r="D16" s="2"/>
      <c r="E16" s="2"/>
      <c r="F16" s="2"/>
      <c r="G16" s="2"/>
      <c r="H16" s="2"/>
      <c r="I16" s="2"/>
      <c r="J16" s="2"/>
      <c r="K16" s="2"/>
      <c r="L16" s="6"/>
      <c r="M16" s="2"/>
      <c r="N16" s="2"/>
    </row>
    <row r="17" ht="16.5" spans="1:1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ht="16.5" spans="1:14">
      <c r="A18" s="6"/>
      <c r="B18" s="6"/>
      <c r="C18" s="6"/>
      <c r="D18" s="9" t="s">
        <v>43</v>
      </c>
      <c r="E18" s="10" t="s">
        <v>18</v>
      </c>
      <c r="F18" s="11" t="s">
        <v>70</v>
      </c>
      <c r="G18" s="10" t="s">
        <v>71</v>
      </c>
      <c r="H18" s="6"/>
      <c r="I18" s="12" t="s">
        <v>44</v>
      </c>
      <c r="J18" s="6" t="s">
        <v>45</v>
      </c>
      <c r="K18" s="6"/>
      <c r="L18" s="6"/>
      <c r="M18" s="6"/>
      <c r="N18" s="6"/>
    </row>
    <row r="19" ht="16.5" spans="1:14">
      <c r="A19" s="6"/>
      <c r="B19" s="6"/>
      <c r="C19" s="6"/>
      <c r="D19" s="13" t="s">
        <v>298</v>
      </c>
      <c r="L19" s="6"/>
      <c r="M19" s="6"/>
      <c r="N19" s="6"/>
    </row>
  </sheetData>
  <mergeCells count="22">
    <mergeCell ref="A1:B1"/>
    <mergeCell ref="A2:B2"/>
    <mergeCell ref="A13:B13"/>
    <mergeCell ref="D19:K19"/>
    <mergeCell ref="D11:D12"/>
    <mergeCell ref="D14:D16"/>
    <mergeCell ref="E14:E16"/>
    <mergeCell ref="L1:L3"/>
    <mergeCell ref="M1:M3"/>
    <mergeCell ref="D1:E3"/>
    <mergeCell ref="J1:K3"/>
    <mergeCell ref="F1:I3"/>
    <mergeCell ref="A3:B4"/>
    <mergeCell ref="A5:B7"/>
    <mergeCell ref="M5:N13"/>
    <mergeCell ref="A8:B10"/>
    <mergeCell ref="A11:B12"/>
    <mergeCell ref="A14:B16"/>
    <mergeCell ref="M14:N16"/>
    <mergeCell ref="F14:G16"/>
    <mergeCell ref="H14:I16"/>
    <mergeCell ref="J14:K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龙西剩余面积</vt:lpstr>
      <vt:lpstr>君联剩余面积</vt:lpstr>
      <vt:lpstr>君联2楼</vt:lpstr>
      <vt:lpstr>君联7楼</vt:lpstr>
      <vt:lpstr>君联8楼</vt:lpstr>
      <vt:lpstr>君联9楼</vt:lpstr>
      <vt:lpstr>君联11楼</vt:lpstr>
      <vt:lpstr>君联12楼</vt:lpstr>
      <vt:lpstr>君联13楼</vt:lpstr>
      <vt:lpstr>君联14楼</vt:lpstr>
      <vt:lpstr>君联15楼</vt:lpstr>
      <vt:lpstr>君联16楼</vt:lpstr>
      <vt:lpstr>君联17楼</vt:lpstr>
      <vt:lpstr>君联18楼</vt:lpstr>
      <vt:lpstr>君联19楼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十一</cp:lastModifiedBy>
  <dcterms:created xsi:type="dcterms:W3CDTF">2026-06-18T14:00:00Z</dcterms:created>
  <dcterms:modified xsi:type="dcterms:W3CDTF">2026-06-18T06:02:32Z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D8C306681D324086B76EE8045E230C5A_12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